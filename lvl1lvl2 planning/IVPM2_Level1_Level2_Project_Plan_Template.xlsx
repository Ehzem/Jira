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hzem\Takhleeq\Jira Automation\jiraScripts\lvl1lvl2 planning\"/>
    </mc:Choice>
  </mc:AlternateContent>
  <bookViews>
    <workbookView xWindow="0" yWindow="0" windowWidth="19200" windowHeight="8130" activeTab="1"/>
  </bookViews>
  <sheets>
    <sheet name="Plan" sheetId="1" r:id="rId1"/>
    <sheet name="Instructions &amp; Legend" sheetId="2" r:id="rId2"/>
  </sheets>
  <calcPr calcId="162913"/>
</workbook>
</file>

<file path=xl/calcChain.xml><?xml version="1.0" encoding="utf-8"?>
<calcChain xmlns="http://schemas.openxmlformats.org/spreadsheetml/2006/main">
  <c r="G110" i="1" l="1"/>
  <c r="G109" i="1"/>
  <c r="H108" i="1"/>
  <c r="G108" i="1"/>
  <c r="G107" i="1"/>
  <c r="G106" i="1"/>
  <c r="H105" i="1"/>
  <c r="G105" i="1"/>
  <c r="G104" i="1"/>
  <c r="G103" i="1"/>
  <c r="H102" i="1"/>
  <c r="G102" i="1"/>
  <c r="H101" i="1"/>
  <c r="G101" i="1"/>
  <c r="G100" i="1"/>
  <c r="G99" i="1"/>
  <c r="H98" i="1"/>
  <c r="G98" i="1"/>
  <c r="G97" i="1"/>
  <c r="G96" i="1"/>
  <c r="H95" i="1"/>
  <c r="G95" i="1"/>
  <c r="G94" i="1"/>
  <c r="G93" i="1"/>
  <c r="G92" i="1"/>
  <c r="H91" i="1"/>
  <c r="G91" i="1"/>
  <c r="H90" i="1"/>
  <c r="G90" i="1"/>
  <c r="G89" i="1"/>
  <c r="G88" i="1"/>
  <c r="H87" i="1"/>
  <c r="G87" i="1"/>
  <c r="G86" i="1"/>
  <c r="G85" i="1"/>
  <c r="G84" i="1"/>
  <c r="H83" i="1"/>
  <c r="G83" i="1"/>
  <c r="H82" i="1"/>
  <c r="G82" i="1"/>
  <c r="G81" i="1"/>
  <c r="G80" i="1"/>
  <c r="H79" i="1"/>
  <c r="G79" i="1"/>
  <c r="G78" i="1"/>
  <c r="G77" i="1"/>
  <c r="H76" i="1"/>
  <c r="G76" i="1"/>
  <c r="H75" i="1"/>
  <c r="G75" i="1"/>
  <c r="G74" i="1"/>
  <c r="G73" i="1"/>
  <c r="H72" i="1"/>
  <c r="G72" i="1"/>
  <c r="G71" i="1"/>
  <c r="G70" i="1"/>
  <c r="H69" i="1"/>
  <c r="G69" i="1"/>
  <c r="G68" i="1"/>
  <c r="G67" i="1"/>
  <c r="G66" i="1"/>
  <c r="H65" i="1"/>
  <c r="G65" i="1"/>
  <c r="H64" i="1"/>
  <c r="G64" i="1"/>
  <c r="G63" i="1"/>
  <c r="G62" i="1"/>
  <c r="H61" i="1"/>
  <c r="G61" i="1"/>
  <c r="G60" i="1"/>
  <c r="G59" i="1"/>
  <c r="H58" i="1"/>
  <c r="G58" i="1"/>
  <c r="G57" i="1"/>
  <c r="G56" i="1"/>
  <c r="H55" i="1"/>
  <c r="G55" i="1"/>
  <c r="H54" i="1"/>
  <c r="G54" i="1"/>
  <c r="G53" i="1"/>
  <c r="G52" i="1"/>
  <c r="H51" i="1"/>
  <c r="G51" i="1"/>
  <c r="G50" i="1"/>
  <c r="G49" i="1"/>
  <c r="H48" i="1"/>
  <c r="G48" i="1"/>
  <c r="G47" i="1"/>
  <c r="G46" i="1"/>
  <c r="H45" i="1"/>
  <c r="G45" i="1"/>
  <c r="H44" i="1"/>
  <c r="G44" i="1"/>
  <c r="G43" i="1"/>
  <c r="G42" i="1"/>
  <c r="G41" i="1"/>
  <c r="H40" i="1"/>
  <c r="G40" i="1"/>
  <c r="G39" i="1"/>
  <c r="G38" i="1"/>
  <c r="G37" i="1"/>
  <c r="H36" i="1"/>
  <c r="G36" i="1"/>
  <c r="H35" i="1"/>
  <c r="G35" i="1"/>
  <c r="G34" i="1"/>
  <c r="H33" i="1"/>
  <c r="G33" i="1"/>
  <c r="G32" i="1"/>
  <c r="G31" i="1"/>
  <c r="H30" i="1"/>
  <c r="G30" i="1"/>
  <c r="G29" i="1"/>
  <c r="G28" i="1"/>
  <c r="G27" i="1"/>
  <c r="H26" i="1"/>
  <c r="G26" i="1"/>
  <c r="G25" i="1"/>
  <c r="G24" i="1"/>
  <c r="G23" i="1"/>
  <c r="H22" i="1"/>
  <c r="G22" i="1"/>
  <c r="H21" i="1"/>
  <c r="G21" i="1"/>
  <c r="G20" i="1"/>
  <c r="G19" i="1"/>
  <c r="G18" i="1"/>
  <c r="G17" i="1"/>
  <c r="H16" i="1"/>
  <c r="G16" i="1"/>
  <c r="G15" i="1"/>
  <c r="G14" i="1"/>
  <c r="G13" i="1"/>
  <c r="H12" i="1"/>
  <c r="G12" i="1"/>
  <c r="G11" i="1"/>
  <c r="G10" i="1"/>
  <c r="G9" i="1"/>
  <c r="G8" i="1"/>
  <c r="H7" i="1"/>
  <c r="G7" i="1"/>
  <c r="H6" i="1"/>
  <c r="G6" i="1"/>
</calcChain>
</file>

<file path=xl/comments1.xml><?xml version="1.0" encoding="utf-8"?>
<comments xmlns="http://schemas.openxmlformats.org/spreadsheetml/2006/main">
  <authors>
    <author/>
  </authors>
  <commentList>
    <comment ref="H8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13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17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23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27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31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34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37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41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46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49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52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56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59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62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66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70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73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77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80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84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88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92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96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99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103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106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  <comment ref="H109" authorId="0" shapeId="0">
      <text>
        <r>
          <rPr>
            <sz val="11"/>
            <color theme="1"/>
            <rFont val="Calibri"/>
            <scheme val="minor"/>
          </rPr>
          <t>Story-point scale (Fibonacci, relative effort):
  1  = trivial, a few hours
  2  = ~ half a day
  3  = ~ 1 day
  5  = 2–3 days
  8  = ~ 1 week
  13 = ~ 2 weeks  (MAX for a mid-level deliverable)
  21 = too large – split it.
Assign only at the mid-level row. Macro and component rows sum their children via the =SUM(...) formula.</t>
        </r>
      </text>
    </comment>
  </commentList>
</comments>
</file>

<file path=xl/sharedStrings.xml><?xml version="1.0" encoding="utf-8"?>
<sst xmlns="http://schemas.openxmlformats.org/spreadsheetml/2006/main" count="656" uniqueCount="306">
  <si>
    <t>IVPM2 Level 1 &amp; 2 Project Plan  —  Autonomous Warehouse Inspection Drone (AWID)</t>
  </si>
  <si>
    <t>How to read &amp; use this plan</t>
  </si>
  <si>
    <t>1. Collapsing &amp; expanding the plan</t>
  </si>
  <si>
    <t>In the 'Plan' sheet, look at the top-left corner: you will see three small buttons labelled 1, 2, 3.</t>
  </si>
  <si>
    <t xml:space="preserve">  • Click '1' to collapse everything down to Component rows only.</t>
  </si>
  <si>
    <t xml:space="preserve">  • Click '2' to show Components + Epics (full IVPM2 Level 1 view).</t>
  </si>
  <si>
    <t>2. Row types</t>
  </si>
  <si>
    <t>COMPONENT — a big area of work; usually a subsystem of the end product. Dark charcoal bar. Rolls up its children.</t>
  </si>
  <si>
    <t>Epic (IVPM2 Level 1) — a major work item within a component, can span weeks to months. Coloured by Fix Version .</t>
  </si>
  <si>
    <t>Task DELIVERABLE (IVPM2 Level 2) — a breakdown of a macro; each one must fit in ≤ 2 weeks. Light bar, coloured by Fix Version .</t>
  </si>
  <si>
    <t>3. Fix Version s (stage-gates) and their gate reviews</t>
  </si>
  <si>
    <t>P1</t>
  </si>
  <si>
    <t>Fix Version  1 - Detailed Design</t>
  </si>
  <si>
    <t>Week 1 – 8</t>
  </si>
  <si>
    <t>Gate: CDR  (Critical Design Review)</t>
  </si>
  <si>
    <t>P2</t>
  </si>
  <si>
    <t>Fix Version  2 - Prototype Development</t>
  </si>
  <si>
    <t>Week 9 – 20</t>
  </si>
  <si>
    <t>Gate: PAR  (Prototype Acceptance Review)</t>
  </si>
  <si>
    <t>P3</t>
  </si>
  <si>
    <t>Fix Version  3 - Final Development</t>
  </si>
  <si>
    <t>Week 21 – 28</t>
  </si>
  <si>
    <t>Gate: PRR  (Production Readiness Review)</t>
  </si>
  <si>
    <t>P4</t>
  </si>
  <si>
    <t>Fix Version  4 - System Integration</t>
  </si>
  <si>
    <t>Week 29 – 32</t>
  </si>
  <si>
    <t>Gate: SIR  (System Integration Review)</t>
  </si>
  <si>
    <t>P5</t>
  </si>
  <si>
    <t>Fix Version  5 - Verification</t>
  </si>
  <si>
    <t>Week 33 – 40</t>
  </si>
  <si>
    <t>Gate: VRR  (Verification Readiness Review)</t>
  </si>
  <si>
    <t>P6</t>
  </si>
  <si>
    <t>Fix Version  6 - Validation &amp; Acceptance</t>
  </si>
  <si>
    <t>Week 41 – 44</t>
  </si>
  <si>
    <t>Gate: VAR  (Validation &amp; Acceptance Review)</t>
  </si>
  <si>
    <t>P7</t>
  </si>
  <si>
    <t>Fix Version  7 - Handover &amp; Closure</t>
  </si>
  <si>
    <t>Week 45 – 48</t>
  </si>
  <si>
    <t>Gate: Project Closure</t>
  </si>
  <si>
    <t>4. Story-point scale (use Fibonacci; assign at Task)</t>
  </si>
  <si>
    <t>1</t>
  </si>
  <si>
    <t>2</t>
  </si>
  <si>
    <t>3</t>
  </si>
  <si>
    <t>5</t>
  </si>
  <si>
    <t>8</t>
  </si>
  <si>
    <t>13</t>
  </si>
  <si>
    <t>5. Optional columns (IVPM2 does not require these at Level 1 / 2)</t>
  </si>
  <si>
    <t>Dependencies: write the ID of the predecessor task(s), e.g. '3.1.3, 4.1.1'.</t>
  </si>
  <si>
    <t>6. How to extend the template</t>
  </si>
  <si>
    <t>• Re-schedule: change Start Wk / End Wk. The Dur column auto-updates; you will need to repaint the timeline bar manually (or just re-run the generator).</t>
  </si>
  <si>
    <t>ID</t>
  </si>
  <si>
    <t>Type</t>
  </si>
  <si>
    <t>Name</t>
  </si>
  <si>
    <t xml:space="preserve">Fix Version </t>
  </si>
  <si>
    <t>Start Wk</t>
  </si>
  <si>
    <t>End Wk</t>
  </si>
  <si>
    <t>Dur (wks)</t>
  </si>
  <si>
    <t>Story Pts</t>
  </si>
  <si>
    <t>Dependencies</t>
  </si>
  <si>
    <t>Assignees</t>
  </si>
  <si>
    <t>Status</t>
  </si>
  <si>
    <t>Notes</t>
  </si>
  <si>
    <t>W1</t>
  </si>
  <si>
    <t>W2</t>
  </si>
  <si>
    <t>W3</t>
  </si>
  <si>
    <t>W4</t>
  </si>
  <si>
    <t>Component</t>
  </si>
  <si>
    <t>Systems Engineering &amp; Management</t>
  </si>
  <si>
    <t>P1-P7</t>
  </si>
  <si>
    <t>Plan</t>
  </si>
  <si>
    <t>1.1</t>
  </si>
  <si>
    <t>Epic</t>
  </si>
  <si>
    <t>System-level detailed design</t>
  </si>
  <si>
    <t>1.1.1</t>
  </si>
  <si>
    <t>Task</t>
  </si>
  <si>
    <t>Finalise system architecture document</t>
  </si>
  <si>
    <t>1.1.2</t>
  </si>
  <si>
    <t>Update system requirements baseline</t>
  </si>
  <si>
    <t>1.1.3</t>
  </si>
  <si>
    <t>Draft &amp; review Interface Control Docs</t>
  </si>
  <si>
    <t>1.1.4</t>
  </si>
  <si>
    <t>Risk register refresh &amp; mitigation plan</t>
  </si>
  <si>
    <t>1.2</t>
  </si>
  <si>
    <t>Integration &amp; V&amp;V master planning</t>
  </si>
  <si>
    <t>P1-P2</t>
  </si>
  <si>
    <t>1.2.1</t>
  </si>
  <si>
    <t>Integration plan v1</t>
  </si>
  <si>
    <t>1.2.2</t>
  </si>
  <si>
    <t>V&amp;V master plan</t>
  </si>
  <si>
    <t>1.2.3</t>
  </si>
  <si>
    <t>Test procedures outline</t>
  </si>
  <si>
    <t>1.3</t>
  </si>
  <si>
    <t>Gate reviews &amp; project coordination</t>
  </si>
  <si>
    <t>1.3.1</t>
  </si>
  <si>
    <t>CDR preparation &amp; dry-run</t>
  </si>
  <si>
    <t>1.3.2</t>
  </si>
  <si>
    <t>PAR preparation &amp; dry-run</t>
  </si>
  <si>
    <t>1.3.3</t>
  </si>
  <si>
    <t>PRR preparation &amp; dry-run</t>
  </si>
  <si>
    <t>1.3.4</t>
  </si>
  <si>
    <t>SIR / VRR / VAR coordination</t>
  </si>
  <si>
    <t>P4-P6</t>
  </si>
  <si>
    <t>Airframe &amp; Mechanical Structure</t>
  </si>
  <si>
    <t>P1-P4</t>
  </si>
  <si>
    <t>2.1</t>
  </si>
  <si>
    <t>Detailed mechanical design</t>
  </si>
  <si>
    <t>2.1.1</t>
  </si>
  <si>
    <t>Frame CAD finalisation</t>
  </si>
  <si>
    <t>2.1.2</t>
  </si>
  <si>
    <t>FEA / stress analysis</t>
  </si>
  <si>
    <t>2.1.3</t>
  </si>
  <si>
    <t>DFM review &amp; rework</t>
  </si>
  <si>
    <t>2.2</t>
  </si>
  <si>
    <t>Prototype airframe fabrication</t>
  </si>
  <si>
    <t>2.2.1</t>
  </si>
  <si>
    <t>Raw-material &amp; COTS procurement</t>
  </si>
  <si>
    <t>2.2.2</t>
  </si>
  <si>
    <t>Machining &amp; additive manufacturing</t>
  </si>
  <si>
    <t>2.2.3</t>
  </si>
  <si>
    <t>Prototype assembly</t>
  </si>
  <si>
    <t>2.3</t>
  </si>
  <si>
    <t>Production airframe build</t>
  </si>
  <si>
    <t>2.3.1</t>
  </si>
  <si>
    <t>Tooling &amp; fixtures setup</t>
  </si>
  <si>
    <t>2.3.2</t>
  </si>
  <si>
    <t>First-batch fabrication</t>
  </si>
  <si>
    <t>2.4</t>
  </si>
  <si>
    <t>Mechanical integration</t>
  </si>
  <si>
    <t>2.4.1</t>
  </si>
  <si>
    <t>Mounting &amp; fit-check on prod airframe</t>
  </si>
  <si>
    <t>Propulsion System</t>
  </si>
  <si>
    <t>3.1</t>
  </si>
  <si>
    <t>Motor/ESC selection &amp; procurement</t>
  </si>
  <si>
    <t>3.1.1</t>
  </si>
  <si>
    <t>Thrust &amp; efficiency analysis</t>
  </si>
  <si>
    <t>3.1.2</t>
  </si>
  <si>
    <t>Vendor evaluation &amp; selection</t>
  </si>
  <si>
    <t>3.1.3</t>
  </si>
  <si>
    <t>Procurement</t>
  </si>
  <si>
    <t>3.2</t>
  </si>
  <si>
    <t>Propulsion integration &amp; characterisation</t>
  </si>
  <si>
    <t>3.2.1</t>
  </si>
  <si>
    <t>Motor-ESC bench test</t>
  </si>
  <si>
    <t>3.2.2</t>
  </si>
  <si>
    <t>Integration with airframe</t>
  </si>
  <si>
    <t>3.2.3</t>
  </si>
  <si>
    <t>Vibration characterisation</t>
  </si>
  <si>
    <t>4</t>
  </si>
  <si>
    <t>Power &amp; Energy Management</t>
  </si>
  <si>
    <t>P1-P5</t>
  </si>
  <si>
    <t>4.1</t>
  </si>
  <si>
    <t>Battery pack &amp; PDB design</t>
  </si>
  <si>
    <t>4.1.1</t>
  </si>
  <si>
    <t>Battery pack specification</t>
  </si>
  <si>
    <t>4.1.2</t>
  </si>
  <si>
    <t>PDB schematic &amp; layout</t>
  </si>
  <si>
    <t>4.2</t>
  </si>
  <si>
    <t>Power system build</t>
  </si>
  <si>
    <t>4.2.1</t>
  </si>
  <si>
    <t>BMS integration</t>
  </si>
  <si>
    <t>4.2.2</t>
  </si>
  <si>
    <t>Harness fabrication</t>
  </si>
  <si>
    <t>4.3</t>
  </si>
  <si>
    <t>Power system V&amp;V</t>
  </si>
  <si>
    <t>4.3.1</t>
  </si>
  <si>
    <t>Endurance / runtime testing</t>
  </si>
  <si>
    <t>4.3.2</t>
  </si>
  <si>
    <t>Thermal characterisation</t>
  </si>
  <si>
    <t>Flight Control Electronics</t>
  </si>
  <si>
    <t>5.1</t>
  </si>
  <si>
    <t>FC board &amp; firmware finalisation</t>
  </si>
  <si>
    <t>5.1.1</t>
  </si>
  <si>
    <t>Autopilot board selection</t>
  </si>
  <si>
    <t>5.1.2</t>
  </si>
  <si>
    <t>Firmware baseline &amp; PID tuning prep</t>
  </si>
  <si>
    <t>5.2</t>
  </si>
  <si>
    <t>FC integration &amp; bench test</t>
  </si>
  <si>
    <t>5.2.1</t>
  </si>
  <si>
    <t>Hardware-in-the-loop (HIL) simulation</t>
  </si>
  <si>
    <t>5.2.2</t>
  </si>
  <si>
    <t>Bench-level FC tests</t>
  </si>
  <si>
    <t>5.3</t>
  </si>
  <si>
    <t>Flight-mode tuning</t>
  </si>
  <si>
    <t>5.3.1</t>
  </si>
  <si>
    <t>Tethered flight tuning</t>
  </si>
  <si>
    <t>5.3.2</t>
  </si>
  <si>
    <t>Free flight tuning</t>
  </si>
  <si>
    <t>6</t>
  </si>
  <si>
    <t>Navigation &amp; Sensors</t>
  </si>
  <si>
    <t>6.1</t>
  </si>
  <si>
    <t>Sensor suite detailed design</t>
  </si>
  <si>
    <t>6.1.1</t>
  </si>
  <si>
    <t>LiDAR selection</t>
  </si>
  <si>
    <t>6.1.2</t>
  </si>
  <si>
    <t>IMU / GPS selection</t>
  </si>
  <si>
    <t>6.1.3</t>
  </si>
  <si>
    <t>Sensor fusion architecture</t>
  </si>
  <si>
    <t>6.2</t>
  </si>
  <si>
    <t>Sensor integration &amp; calibration</t>
  </si>
  <si>
    <t>6.2.1</t>
  </si>
  <si>
    <t>Sensor mounting &amp; alignment</t>
  </si>
  <si>
    <t>6.2.2</t>
  </si>
  <si>
    <t>Calibration routines</t>
  </si>
  <si>
    <t>6.3</t>
  </si>
  <si>
    <t>Navigation V&amp;V</t>
  </si>
  <si>
    <t>6.3.1</t>
  </si>
  <si>
    <t>Positioning accuracy tests</t>
  </si>
  <si>
    <t>6.3.2</t>
  </si>
  <si>
    <t>GPS-denied navigation tests</t>
  </si>
  <si>
    <t>7</t>
  </si>
  <si>
    <t>Communications</t>
  </si>
  <si>
    <t>7.1</t>
  </si>
  <si>
    <t>Telemetry &amp; data-link design</t>
  </si>
  <si>
    <t>7.1.1</t>
  </si>
  <si>
    <t>Radio selection</t>
  </si>
  <si>
    <t>7.1.2</t>
  </si>
  <si>
    <t>Link-budget analysis</t>
  </si>
  <si>
    <t>7.2</t>
  </si>
  <si>
    <t>Comms integration &amp; range test</t>
  </si>
  <si>
    <t>7.2.1</t>
  </si>
  <si>
    <t>Integration on production airframe</t>
  </si>
  <si>
    <t>7.2.2</t>
  </si>
  <si>
    <t>Range &amp; resilience testing</t>
  </si>
  <si>
    <t>Inspection Payload</t>
  </si>
  <si>
    <t>8.1</t>
  </si>
  <si>
    <t>Inspection-payload integration</t>
  </si>
  <si>
    <t>8.1.1</t>
  </si>
  <si>
    <t>Camera &amp; gimbal selection</t>
  </si>
  <si>
    <t>8.1.2</t>
  </si>
  <si>
    <t>Mechanical mounting</t>
  </si>
  <si>
    <t>8.1.3</t>
  </si>
  <si>
    <t>On-board data pipeline</t>
  </si>
  <si>
    <t>8.2</t>
  </si>
  <si>
    <t>Payload V&amp;V</t>
  </si>
  <si>
    <t>8.2.1</t>
  </si>
  <si>
    <t>Image-quality tests</t>
  </si>
  <si>
    <t>8.2.2</t>
  </si>
  <si>
    <t>End-to-end inspection workflow test</t>
  </si>
  <si>
    <t>9</t>
  </si>
  <si>
    <t>On-board Software &amp; Autonomy</t>
  </si>
  <si>
    <t>P1-P6</t>
  </si>
  <si>
    <t>9.1</t>
  </si>
  <si>
    <t>Autonomy software finalisation</t>
  </si>
  <si>
    <t>9.1.1</t>
  </si>
  <si>
    <t>Mission planner module</t>
  </si>
  <si>
    <t>9.1.2</t>
  </si>
  <si>
    <t>Obstacle avoidance module</t>
  </si>
  <si>
    <t>9.1.3</t>
  </si>
  <si>
    <t>Flight state machine</t>
  </si>
  <si>
    <t>9.2</t>
  </si>
  <si>
    <t>Software integration on hardware</t>
  </si>
  <si>
    <t>9.2.1</t>
  </si>
  <si>
    <t>HW-SW integration</t>
  </si>
  <si>
    <t>9.2.2</t>
  </si>
  <si>
    <t>SIL / HIL regression</t>
  </si>
  <si>
    <t>9.3</t>
  </si>
  <si>
    <t>Software V&amp;V</t>
  </si>
  <si>
    <t>P5-P6</t>
  </si>
  <si>
    <t>9.3.1</t>
  </si>
  <si>
    <t>Unit &amp; integration test campaign</t>
  </si>
  <si>
    <t>9.3.2</t>
  </si>
  <si>
    <t>Field flight-test campaign</t>
  </si>
  <si>
    <t>10</t>
  </si>
  <si>
    <t>Ground Station &amp; Operations</t>
  </si>
  <si>
    <t>P2-P7</t>
  </si>
  <si>
    <t>10.1</t>
  </si>
  <si>
    <t>GCS software development</t>
  </si>
  <si>
    <t>P2-P3</t>
  </si>
  <si>
    <t>10.1.1</t>
  </si>
  <si>
    <t>UI development</t>
  </si>
  <si>
    <t>10.1.2</t>
  </si>
  <si>
    <t>Mission upload / telemetry display</t>
  </si>
  <si>
    <t>10.2</t>
  </si>
  <si>
    <t>Field deployment kit</t>
  </si>
  <si>
    <t>10.2.1</t>
  </si>
  <si>
    <t>Kit hardware procurement</t>
  </si>
  <si>
    <t>10.2.2</t>
  </si>
  <si>
    <t>Ruggedisation &amp; packaging</t>
  </si>
  <si>
    <t>10.3</t>
  </si>
  <si>
    <t>Validation &amp; handover</t>
  </si>
  <si>
    <t>P6-P7</t>
  </si>
  <si>
    <t>10.3.1</t>
  </si>
  <si>
    <t>Customer acceptance test</t>
  </si>
  <si>
    <t>10.3.2</t>
  </si>
  <si>
    <t>Training &amp; operational handover</t>
  </si>
  <si>
    <t>Phase  1 - Detailed Design, Gate: CDR  (Critical Design Review)</t>
  </si>
  <si>
    <t>Phase  2 - Prototype Development, Gate: PAR  (Prototype Acceptance Review)</t>
  </si>
  <si>
    <t>Phase  3 - Final Development, Gate: PRR  (Production Readiness Review)</t>
  </si>
  <si>
    <t>Phase  4 - System Integration, Gate: SIR  (System Integration Review)</t>
  </si>
  <si>
    <t>Phase  5 - Verification, Gate: VRR  (Verification Readiness Review)</t>
  </si>
  <si>
    <t>Phase  6 - Validation &amp; Acceptance, Gate: VAR  (Validation &amp; Acceptance Review)</t>
  </si>
  <si>
    <t>Phase  7 - Handover &amp; Closure, Gate: Project Closure</t>
  </si>
  <si>
    <t>Project window: May 2026 – Apr 2027   |   Level 1 = Fix Version s + Epics   |   Level 2 = Task deliverables (≤ 2 weeks)   |   Use the outline buttons at the top-left of the sheet (1 / 2 / 3) to collapse &amp; expand.</t>
  </si>
  <si>
    <t xml:space="preserve">  • Click '3' to show Components + Epics + Task deliverables (full Level 1 + Level 2 view).</t>
  </si>
  <si>
    <t>You can also click the small '+' and '-' symbols in the left margin to expand or collapse a single component or epic individually.</t>
  </si>
  <si>
    <t>• Add a new component: insert rows at the bottom, give outline level 0 to the component row, level 1 to its epics level 2 to its Tasks.</t>
  </si>
  <si>
    <t>• Add a new Task under an existing epic: insert a row inside the epic's block, set its outline level to 2, and update the epic's =SUM(...) range.</t>
  </si>
  <si>
    <t>7. Assignee</t>
  </si>
  <si>
    <t>• Assignee need to correspond to those available in jira on a particular site</t>
  </si>
  <si>
    <t>Component and Epic rows do NOT take a manually-entered story-point value — the template auto-sums them from their Task children using =SUM(...). If you add new Task rows, extend the SUM range.</t>
  </si>
  <si>
    <t>Minimum effort, A few hours, No complexity, No uncertainty</t>
  </si>
  <si>
    <t>Slight effort, Half a day, Low complexity, No uncertainty</t>
  </si>
  <si>
    <t>Mild effort, A day, Slight complexity, Low uncertainty</t>
  </si>
  <si>
    <t>Moderate effort, 2-3 days, Medium complexity, Moderate uncertainty</t>
  </si>
  <si>
    <t>Considerable effort, 1 week, Moderate complexity, Moderate uncertainty</t>
  </si>
  <si>
    <t>Significant effort, 2 weeks, High complexity, High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</si>
</sst>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1F3864"/>
      <name val="Calibri"/>
    </font>
    <font>
      <sz val="10"/>
      <color theme="1"/>
      <name val="Calibri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  <font>
      <i/>
      <sz val="10"/>
      <color rgb="FF404040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b/>
      <sz val="10"/>
      <color rgb="FFFFFFFF"/>
      <name val="Calibri"/>
    </font>
    <font>
      <b/>
      <sz val="10"/>
      <color rgb="FF1F1F1F"/>
      <name val="Calibri"/>
    </font>
    <font>
      <b/>
      <sz val="8"/>
      <color rgb="FF404040"/>
      <name val="Calibri"/>
    </font>
    <font>
      <b/>
      <sz val="11"/>
      <color rgb="FFFFFFFF"/>
      <name val="Calibri"/>
    </font>
    <font>
      <sz val="10"/>
      <color rgb="FF1F1F1F"/>
      <name val="Calibri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F4E79"/>
        <bgColor rgb="FF1F4E79"/>
      </patternFill>
    </fill>
    <fill>
      <patternFill patternType="solid">
        <fgColor rgb="FFBF6B04"/>
        <bgColor rgb="FFBF6B04"/>
      </patternFill>
    </fill>
    <fill>
      <patternFill patternType="solid">
        <fgColor rgb="FF548235"/>
        <bgColor rgb="FF548235"/>
      </patternFill>
    </fill>
    <fill>
      <patternFill patternType="solid">
        <fgColor rgb="FF6A329F"/>
        <bgColor rgb="FF6A329F"/>
      </patternFill>
    </fill>
    <fill>
      <patternFill patternType="solid">
        <fgColor rgb="FF0F7A7A"/>
        <bgColor rgb="FF0F7A7A"/>
      </patternFill>
    </fill>
    <fill>
      <patternFill patternType="solid">
        <fgColor rgb="FFA12626"/>
        <bgColor rgb="FFA12626"/>
      </patternFill>
    </fill>
    <fill>
      <patternFill patternType="solid">
        <fgColor rgb="FF595959"/>
        <bgColor rgb="FF595959"/>
      </patternFill>
    </fill>
    <fill>
      <patternFill patternType="solid">
        <fgColor rgb="FFE7E6E6"/>
        <bgColor rgb="FFE7E6E6"/>
      </patternFill>
    </fill>
    <fill>
      <patternFill patternType="solid">
        <fgColor rgb="FFF2F2F2"/>
        <bgColor rgb="FFF2F2F2"/>
      </patternFill>
    </fill>
    <fill>
      <patternFill patternType="solid">
        <fgColor rgb="FFFAFAFA"/>
        <bgColor rgb="FFFAFAFA"/>
      </patternFill>
    </fill>
    <fill>
      <patternFill patternType="solid">
        <fgColor rgb="FF2E3A46"/>
        <bgColor rgb="FF2E3A46"/>
      </patternFill>
    </fill>
    <fill>
      <patternFill patternType="solid">
        <fgColor rgb="FFD9E1F2"/>
        <bgColor rgb="FFD9E1F2"/>
      </patternFill>
    </fill>
    <fill>
      <patternFill patternType="solid">
        <fgColor rgb="FF5B9BD5"/>
        <bgColor rgb="FF5B9BD5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CD5B4"/>
        <bgColor rgb="FFFCD5B4"/>
      </patternFill>
    </fill>
    <fill>
      <patternFill patternType="solid">
        <fgColor rgb="FFED7D31"/>
        <bgColor rgb="FFED7D31"/>
      </patternFill>
    </fill>
    <fill>
      <patternFill patternType="solid">
        <fgColor rgb="FFC5E0B4"/>
        <bgColor rgb="FFC5E0B4"/>
      </patternFill>
    </fill>
    <fill>
      <patternFill patternType="solid">
        <fgColor rgb="FFA2DEDE"/>
        <bgColor rgb="FFA2DEDE"/>
      </patternFill>
    </fill>
    <fill>
      <patternFill patternType="solid">
        <fgColor rgb="FF70AD47"/>
        <bgColor rgb="FF70AD47"/>
      </patternFill>
    </fill>
    <fill>
      <patternFill patternType="solid">
        <fgColor rgb="FF9B59B6"/>
        <bgColor rgb="FF9B59B6"/>
      </patternFill>
    </fill>
    <fill>
      <patternFill patternType="solid">
        <fgColor rgb="FFD7BDE2"/>
        <bgColor rgb="FFD7BDE2"/>
      </patternFill>
    </fill>
    <fill>
      <patternFill patternType="solid">
        <fgColor rgb="FF17A2A2"/>
        <bgColor rgb="FF17A2A2"/>
      </patternFill>
    </fill>
    <fill>
      <patternFill patternType="solid">
        <fgColor rgb="FFC0504D"/>
        <bgColor rgb="FFC0504D"/>
      </patternFill>
    </fill>
    <fill>
      <patternFill patternType="solid">
        <fgColor rgb="FFE6B8B7"/>
        <bgColor rgb="FFE6B8B7"/>
      </patternFill>
    </fill>
    <fill>
      <patternFill patternType="solid">
        <fgColor rgb="FFD9D9D9"/>
        <bgColor rgb="FFD9D9D9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404040"/>
      </top>
      <bottom style="medium">
        <color rgb="FF40404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/>
    <xf numFmtId="0" fontId="5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9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2" borderId="4" xfId="0" applyFont="1" applyFill="1" applyBorder="1" applyAlignment="1">
      <alignment wrapText="1"/>
    </xf>
    <xf numFmtId="0" fontId="9" fillId="2" borderId="4" xfId="0" applyFont="1" applyFill="1" applyBorder="1"/>
    <xf numFmtId="0" fontId="10" fillId="2" borderId="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left" vertical="center"/>
    </xf>
    <xf numFmtId="0" fontId="13" fillId="13" borderId="6" xfId="0" applyFont="1" applyFill="1" applyBorder="1" applyAlignment="1">
      <alignment horizontal="left" vertical="center" wrapText="1"/>
    </xf>
    <xf numFmtId="0" fontId="13" fillId="13" borderId="6" xfId="0" applyFont="1" applyFill="1" applyBorder="1" applyAlignment="1">
      <alignment horizontal="center" vertical="center" wrapText="1"/>
    </xf>
    <xf numFmtId="0" fontId="13" fillId="13" borderId="6" xfId="0" applyFont="1" applyFill="1" applyBorder="1"/>
    <xf numFmtId="0" fontId="11" fillId="14" borderId="6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center" vertical="center" wrapText="1"/>
    </xf>
    <xf numFmtId="0" fontId="11" fillId="14" borderId="6" xfId="0" applyFont="1" applyFill="1" applyBorder="1" applyAlignment="1">
      <alignment horizontal="left" vertical="center" wrapText="1"/>
    </xf>
    <xf numFmtId="0" fontId="9" fillId="15" borderId="6" xfId="0" applyFont="1" applyFill="1" applyBorder="1"/>
    <xf numFmtId="0" fontId="14" fillId="16" borderId="6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left" vertical="center" wrapText="1"/>
    </xf>
    <xf numFmtId="0" fontId="9" fillId="17" borderId="6" xfId="0" applyFont="1" applyFill="1" applyBorder="1"/>
    <xf numFmtId="0" fontId="9" fillId="18" borderId="6" xfId="0" applyFont="1" applyFill="1" applyBorder="1"/>
    <xf numFmtId="0" fontId="9" fillId="19" borderId="6" xfId="0" applyFont="1" applyFill="1" applyBorder="1"/>
    <xf numFmtId="0" fontId="9" fillId="20" borderId="6" xfId="0" applyFont="1" applyFill="1" applyBorder="1"/>
    <xf numFmtId="0" fontId="9" fillId="21" borderId="6" xfId="0" applyFont="1" applyFill="1" applyBorder="1"/>
    <xf numFmtId="0" fontId="13" fillId="13" borderId="4" xfId="0" applyFont="1" applyFill="1" applyBorder="1"/>
    <xf numFmtId="0" fontId="9" fillId="22" borderId="6" xfId="0" applyFont="1" applyFill="1" applyBorder="1"/>
    <xf numFmtId="0" fontId="9" fillId="23" borderId="6" xfId="0" applyFont="1" applyFill="1" applyBorder="1"/>
    <xf numFmtId="0" fontId="9" fillId="24" borderId="6" xfId="0" applyFont="1" applyFill="1" applyBorder="1"/>
    <xf numFmtId="0" fontId="9" fillId="25" borderId="6" xfId="0" applyFont="1" applyFill="1" applyBorder="1"/>
    <xf numFmtId="0" fontId="9" fillId="26" borderId="6" xfId="0" applyFont="1" applyFill="1" applyBorder="1"/>
    <xf numFmtId="0" fontId="9" fillId="27" borderId="6" xfId="0" applyFont="1" applyFill="1" applyBorder="1"/>
    <xf numFmtId="0" fontId="9" fillId="28" borderId="6" xfId="0" applyFont="1" applyFill="1" applyBorder="1"/>
    <xf numFmtId="17" fontId="11" fillId="11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7" fontId="11" fillId="10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Font="1" applyAlignment="1"/>
    <xf numFmtId="0" fontId="4" fillId="0" borderId="0" xfId="0" applyFont="1" applyAlignment="1">
      <alignment vertical="top" wrapText="1"/>
    </xf>
    <xf numFmtId="0" fontId="0" fillId="0" borderId="0" xfId="0" applyFont="1"/>
    <xf numFmtId="0" fontId="3" fillId="0" borderId="0" xfId="0" applyFont="1" applyAlignmen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BH1000"/>
  <sheetViews>
    <sheetView showGridLines="0" workbookViewId="0">
      <pane xSplit="3" ySplit="5" topLeftCell="D9" activePane="bottomRight" state="frozen"/>
      <selection pane="topRight" activeCell="D1" sqref="D1"/>
      <selection pane="bottomLeft" activeCell="A6" sqref="A6"/>
      <selection pane="bottomRight" activeCell="AS11" sqref="AS11"/>
    </sheetView>
  </sheetViews>
  <sheetFormatPr defaultColWidth="14.453125" defaultRowHeight="15" customHeight="1" outlineLevelRow="2" x14ac:dyDescent="0.35"/>
  <cols>
    <col min="1" max="1" width="8" customWidth="1"/>
    <col min="2" max="2" width="17.453125" customWidth="1"/>
    <col min="3" max="3" width="48" customWidth="1"/>
    <col min="4" max="4" width="22" customWidth="1"/>
    <col min="5" max="6" width="8" customWidth="1"/>
    <col min="7" max="8" width="10" customWidth="1"/>
    <col min="9" max="9" width="18" customWidth="1"/>
    <col min="10" max="10" width="16" customWidth="1"/>
    <col min="11" max="11" width="12" customWidth="1"/>
    <col min="12" max="12" width="28" customWidth="1"/>
    <col min="13" max="60" width="4" customWidth="1"/>
  </cols>
  <sheetData>
    <row r="1" spans="1:60" ht="25.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10"/>
    </row>
    <row r="2" spans="1:60" ht="18" customHeight="1" x14ac:dyDescent="0.35">
      <c r="A2" s="12" t="s">
        <v>292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</row>
    <row r="3" spans="1:60" ht="38.25" customHeight="1" x14ac:dyDescent="0.3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52" t="s">
        <v>285</v>
      </c>
      <c r="N3" s="47"/>
      <c r="O3" s="47"/>
      <c r="P3" s="47"/>
      <c r="Q3" s="47"/>
      <c r="R3" s="47"/>
      <c r="S3" s="47"/>
      <c r="T3" s="48"/>
      <c r="U3" s="53" t="s">
        <v>286</v>
      </c>
      <c r="V3" s="47"/>
      <c r="W3" s="47"/>
      <c r="X3" s="47"/>
      <c r="Y3" s="47"/>
      <c r="Z3" s="47"/>
      <c r="AA3" s="47"/>
      <c r="AB3" s="47"/>
      <c r="AC3" s="47"/>
      <c r="AD3" s="47"/>
      <c r="AE3" s="47"/>
      <c r="AF3" s="48"/>
      <c r="AG3" s="54" t="s">
        <v>287</v>
      </c>
      <c r="AH3" s="47"/>
      <c r="AI3" s="47"/>
      <c r="AJ3" s="47"/>
      <c r="AK3" s="47"/>
      <c r="AL3" s="47"/>
      <c r="AM3" s="47"/>
      <c r="AN3" s="48"/>
      <c r="AO3" s="55" t="s">
        <v>288</v>
      </c>
      <c r="AP3" s="47"/>
      <c r="AQ3" s="47"/>
      <c r="AR3" s="48"/>
      <c r="AS3" s="56" t="s">
        <v>289</v>
      </c>
      <c r="AT3" s="47"/>
      <c r="AU3" s="47"/>
      <c r="AV3" s="47"/>
      <c r="AW3" s="47"/>
      <c r="AX3" s="47"/>
      <c r="AY3" s="47"/>
      <c r="AZ3" s="48"/>
      <c r="BA3" s="50" t="s">
        <v>290</v>
      </c>
      <c r="BB3" s="47"/>
      <c r="BC3" s="47"/>
      <c r="BD3" s="48"/>
      <c r="BE3" s="51" t="s">
        <v>291</v>
      </c>
      <c r="BF3" s="47"/>
      <c r="BG3" s="47"/>
      <c r="BH3" s="48"/>
    </row>
    <row r="4" spans="1:60" ht="18" customHeight="1" x14ac:dyDescent="0.3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49">
        <v>46143</v>
      </c>
      <c r="N4" s="47"/>
      <c r="O4" s="47"/>
      <c r="P4" s="48"/>
      <c r="Q4" s="46">
        <v>46174</v>
      </c>
      <c r="R4" s="47"/>
      <c r="S4" s="47"/>
      <c r="T4" s="48"/>
      <c r="U4" s="49">
        <v>46204</v>
      </c>
      <c r="V4" s="47"/>
      <c r="W4" s="47"/>
      <c r="X4" s="48"/>
      <c r="Y4" s="46">
        <v>46235</v>
      </c>
      <c r="Z4" s="47"/>
      <c r="AA4" s="47"/>
      <c r="AB4" s="48"/>
      <c r="AC4" s="49">
        <v>46266</v>
      </c>
      <c r="AD4" s="47"/>
      <c r="AE4" s="47"/>
      <c r="AF4" s="48"/>
      <c r="AG4" s="46">
        <v>46296</v>
      </c>
      <c r="AH4" s="47"/>
      <c r="AI4" s="47"/>
      <c r="AJ4" s="48"/>
      <c r="AK4" s="49">
        <v>46327</v>
      </c>
      <c r="AL4" s="47"/>
      <c r="AM4" s="47"/>
      <c r="AN4" s="48"/>
      <c r="AO4" s="46">
        <v>46357</v>
      </c>
      <c r="AP4" s="47"/>
      <c r="AQ4" s="47"/>
      <c r="AR4" s="48"/>
      <c r="AS4" s="49">
        <v>46388</v>
      </c>
      <c r="AT4" s="47"/>
      <c r="AU4" s="47"/>
      <c r="AV4" s="48"/>
      <c r="AW4" s="46">
        <v>46419</v>
      </c>
      <c r="AX4" s="47"/>
      <c r="AY4" s="47"/>
      <c r="AZ4" s="48"/>
      <c r="BA4" s="49">
        <v>46447</v>
      </c>
      <c r="BB4" s="47"/>
      <c r="BC4" s="47"/>
      <c r="BD4" s="48"/>
      <c r="BE4" s="46">
        <v>46478</v>
      </c>
      <c r="BF4" s="47"/>
      <c r="BG4" s="47"/>
      <c r="BH4" s="48"/>
    </row>
    <row r="5" spans="1:60" ht="27.75" customHeight="1" x14ac:dyDescent="0.35">
      <c r="A5" s="18" t="s">
        <v>50</v>
      </c>
      <c r="B5" s="18" t="s">
        <v>51</v>
      </c>
      <c r="C5" s="18" t="s">
        <v>52</v>
      </c>
      <c r="D5" s="19" t="s">
        <v>53</v>
      </c>
      <c r="E5" s="18" t="s">
        <v>54</v>
      </c>
      <c r="F5" s="18" t="s">
        <v>55</v>
      </c>
      <c r="G5" s="18" t="s">
        <v>56</v>
      </c>
      <c r="H5" s="18" t="s">
        <v>57</v>
      </c>
      <c r="I5" s="18" t="s">
        <v>58</v>
      </c>
      <c r="J5" s="18" t="s">
        <v>59</v>
      </c>
      <c r="K5" s="18" t="s">
        <v>60</v>
      </c>
      <c r="L5" s="18" t="s">
        <v>61</v>
      </c>
      <c r="M5" s="20" t="s">
        <v>62</v>
      </c>
      <c r="N5" s="20" t="s">
        <v>63</v>
      </c>
      <c r="O5" s="20" t="s">
        <v>64</v>
      </c>
      <c r="P5" s="20" t="s">
        <v>65</v>
      </c>
      <c r="Q5" s="20" t="s">
        <v>62</v>
      </c>
      <c r="R5" s="20" t="s">
        <v>63</v>
      </c>
      <c r="S5" s="20" t="s">
        <v>64</v>
      </c>
      <c r="T5" s="20" t="s">
        <v>65</v>
      </c>
      <c r="U5" s="20" t="s">
        <v>62</v>
      </c>
      <c r="V5" s="20" t="s">
        <v>63</v>
      </c>
      <c r="W5" s="20" t="s">
        <v>64</v>
      </c>
      <c r="X5" s="20" t="s">
        <v>65</v>
      </c>
      <c r="Y5" s="20" t="s">
        <v>62</v>
      </c>
      <c r="Z5" s="20" t="s">
        <v>63</v>
      </c>
      <c r="AA5" s="20" t="s">
        <v>64</v>
      </c>
      <c r="AB5" s="20" t="s">
        <v>65</v>
      </c>
      <c r="AC5" s="20" t="s">
        <v>62</v>
      </c>
      <c r="AD5" s="20" t="s">
        <v>63</v>
      </c>
      <c r="AE5" s="20" t="s">
        <v>64</v>
      </c>
      <c r="AF5" s="20" t="s">
        <v>65</v>
      </c>
      <c r="AG5" s="20" t="s">
        <v>62</v>
      </c>
      <c r="AH5" s="20" t="s">
        <v>63</v>
      </c>
      <c r="AI5" s="20" t="s">
        <v>64</v>
      </c>
      <c r="AJ5" s="20" t="s">
        <v>65</v>
      </c>
      <c r="AK5" s="20" t="s">
        <v>62</v>
      </c>
      <c r="AL5" s="20" t="s">
        <v>63</v>
      </c>
      <c r="AM5" s="20" t="s">
        <v>64</v>
      </c>
      <c r="AN5" s="20" t="s">
        <v>65</v>
      </c>
      <c r="AO5" s="20" t="s">
        <v>62</v>
      </c>
      <c r="AP5" s="20" t="s">
        <v>63</v>
      </c>
      <c r="AQ5" s="20" t="s">
        <v>64</v>
      </c>
      <c r="AR5" s="20" t="s">
        <v>65</v>
      </c>
      <c r="AS5" s="20" t="s">
        <v>62</v>
      </c>
      <c r="AT5" s="20" t="s">
        <v>63</v>
      </c>
      <c r="AU5" s="20" t="s">
        <v>64</v>
      </c>
      <c r="AV5" s="20" t="s">
        <v>65</v>
      </c>
      <c r="AW5" s="20" t="s">
        <v>62</v>
      </c>
      <c r="AX5" s="20" t="s">
        <v>63</v>
      </c>
      <c r="AY5" s="20" t="s">
        <v>64</v>
      </c>
      <c r="AZ5" s="20" t="s">
        <v>65</v>
      </c>
      <c r="BA5" s="20" t="s">
        <v>62</v>
      </c>
      <c r="BB5" s="20" t="s">
        <v>63</v>
      </c>
      <c r="BC5" s="20" t="s">
        <v>64</v>
      </c>
      <c r="BD5" s="20" t="s">
        <v>65</v>
      </c>
      <c r="BE5" s="20" t="s">
        <v>62</v>
      </c>
      <c r="BF5" s="20" t="s">
        <v>63</v>
      </c>
      <c r="BG5" s="20" t="s">
        <v>64</v>
      </c>
      <c r="BH5" s="20" t="s">
        <v>65</v>
      </c>
    </row>
    <row r="6" spans="1:60" ht="21.75" customHeight="1" x14ac:dyDescent="0.35">
      <c r="A6" s="21" t="s">
        <v>40</v>
      </c>
      <c r="B6" s="21" t="s">
        <v>66</v>
      </c>
      <c r="C6" s="22" t="s">
        <v>67</v>
      </c>
      <c r="D6" s="21" t="s">
        <v>68</v>
      </c>
      <c r="E6" s="21">
        <v>1</v>
      </c>
      <c r="F6" s="21">
        <v>48</v>
      </c>
      <c r="G6" s="21">
        <f t="shared" ref="G6:G110" si="0">F6-E6+1</f>
        <v>48</v>
      </c>
      <c r="H6" s="21">
        <f>SUM(H8:H11,H13:H15,H17:H20)</f>
        <v>57</v>
      </c>
      <c r="I6" s="23"/>
      <c r="J6" s="23"/>
      <c r="K6" s="24" t="s">
        <v>69</v>
      </c>
      <c r="L6" s="23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</row>
    <row r="7" spans="1:60" ht="18" customHeight="1" outlineLevel="1" x14ac:dyDescent="0.35">
      <c r="A7" s="26" t="s">
        <v>70</v>
      </c>
      <c r="B7" s="27" t="s">
        <v>71</v>
      </c>
      <c r="C7" s="28" t="s">
        <v>72</v>
      </c>
      <c r="D7" s="26" t="s">
        <v>11</v>
      </c>
      <c r="E7" s="26">
        <v>1</v>
      </c>
      <c r="F7" s="26">
        <v>8</v>
      </c>
      <c r="G7" s="26">
        <f t="shared" si="0"/>
        <v>8</v>
      </c>
      <c r="H7" s="26">
        <f>SUM(H8:H11)</f>
        <v>16</v>
      </c>
      <c r="I7" s="28"/>
      <c r="J7" s="28"/>
      <c r="K7" s="27" t="s">
        <v>69</v>
      </c>
      <c r="L7" s="28"/>
      <c r="M7" s="29"/>
      <c r="N7" s="29"/>
      <c r="O7" s="29"/>
      <c r="P7" s="29"/>
      <c r="Q7" s="29"/>
      <c r="R7" s="29"/>
      <c r="S7" s="29"/>
      <c r="T7" s="29"/>
    </row>
    <row r="8" spans="1:60" ht="15.75" customHeight="1" outlineLevel="2" x14ac:dyDescent="0.35">
      <c r="A8" s="30" t="s">
        <v>73</v>
      </c>
      <c r="B8" s="31" t="s">
        <v>74</v>
      </c>
      <c r="C8" s="32" t="s">
        <v>75</v>
      </c>
      <c r="D8" s="30" t="s">
        <v>11</v>
      </c>
      <c r="E8" s="30">
        <v>1</v>
      </c>
      <c r="F8" s="30">
        <v>2</v>
      </c>
      <c r="G8" s="30">
        <f t="shared" si="0"/>
        <v>2</v>
      </c>
      <c r="H8" s="30">
        <v>3</v>
      </c>
      <c r="I8" s="32"/>
      <c r="J8" s="32"/>
      <c r="K8" s="31" t="s">
        <v>69</v>
      </c>
      <c r="L8" s="32"/>
      <c r="M8" s="33"/>
      <c r="N8" s="33"/>
    </row>
    <row r="9" spans="1:60" ht="15.75" customHeight="1" outlineLevel="2" x14ac:dyDescent="0.35">
      <c r="A9" s="30" t="s">
        <v>76</v>
      </c>
      <c r="B9" s="31" t="s">
        <v>74</v>
      </c>
      <c r="C9" s="32" t="s">
        <v>77</v>
      </c>
      <c r="D9" s="30" t="s">
        <v>11</v>
      </c>
      <c r="E9" s="30">
        <v>2</v>
      </c>
      <c r="F9" s="30">
        <v>3</v>
      </c>
      <c r="G9" s="30">
        <f t="shared" si="0"/>
        <v>2</v>
      </c>
      <c r="H9" s="30">
        <v>2</v>
      </c>
      <c r="I9" s="32"/>
      <c r="J9" s="32"/>
      <c r="K9" s="31" t="s">
        <v>69</v>
      </c>
      <c r="L9" s="32"/>
      <c r="N9" s="33"/>
      <c r="O9" s="33"/>
    </row>
    <row r="10" spans="1:60" ht="15.75" customHeight="1" outlineLevel="2" x14ac:dyDescent="0.35">
      <c r="A10" s="30" t="s">
        <v>78</v>
      </c>
      <c r="B10" s="31" t="s">
        <v>74</v>
      </c>
      <c r="C10" s="32" t="s">
        <v>79</v>
      </c>
      <c r="D10" s="30" t="s">
        <v>11</v>
      </c>
      <c r="E10" s="30">
        <v>3</v>
      </c>
      <c r="F10" s="30">
        <v>6</v>
      </c>
      <c r="G10" s="30">
        <f t="shared" si="0"/>
        <v>4</v>
      </c>
      <c r="H10" s="30">
        <v>8</v>
      </c>
      <c r="I10" s="32"/>
      <c r="J10" s="32"/>
      <c r="K10" s="31" t="s">
        <v>69</v>
      </c>
      <c r="L10" s="32"/>
      <c r="O10" s="33"/>
      <c r="P10" s="33"/>
      <c r="Q10" s="33"/>
      <c r="R10" s="33"/>
    </row>
    <row r="11" spans="1:60" ht="15.75" customHeight="1" outlineLevel="2" x14ac:dyDescent="0.35">
      <c r="A11" s="30" t="s">
        <v>80</v>
      </c>
      <c r="B11" s="31" t="s">
        <v>74</v>
      </c>
      <c r="C11" s="32" t="s">
        <v>81</v>
      </c>
      <c r="D11" s="30" t="s">
        <v>11</v>
      </c>
      <c r="E11" s="30">
        <v>7</v>
      </c>
      <c r="F11" s="30">
        <v>8</v>
      </c>
      <c r="G11" s="30">
        <f t="shared" si="0"/>
        <v>2</v>
      </c>
      <c r="H11" s="30">
        <v>3</v>
      </c>
      <c r="I11" s="32"/>
      <c r="J11" s="32"/>
      <c r="K11" s="31" t="s">
        <v>69</v>
      </c>
      <c r="L11" s="32"/>
      <c r="S11" s="33"/>
      <c r="T11" s="33"/>
    </row>
    <row r="12" spans="1:60" ht="18" customHeight="1" outlineLevel="1" x14ac:dyDescent="0.35">
      <c r="A12" s="26" t="s">
        <v>82</v>
      </c>
      <c r="B12" s="27" t="s">
        <v>71</v>
      </c>
      <c r="C12" s="28" t="s">
        <v>83</v>
      </c>
      <c r="D12" s="26" t="s">
        <v>84</v>
      </c>
      <c r="E12" s="26">
        <v>5</v>
      </c>
      <c r="F12" s="26">
        <v>12</v>
      </c>
      <c r="G12" s="26">
        <f t="shared" si="0"/>
        <v>8</v>
      </c>
      <c r="H12" s="26">
        <f>SUM(H13:H15)</f>
        <v>18</v>
      </c>
      <c r="I12" s="28"/>
      <c r="J12" s="28"/>
      <c r="K12" s="27" t="s">
        <v>69</v>
      </c>
      <c r="L12" s="28"/>
      <c r="Q12" s="29"/>
      <c r="R12" s="29"/>
      <c r="S12" s="29"/>
      <c r="T12" s="29"/>
      <c r="U12" s="29"/>
      <c r="V12" s="29"/>
      <c r="W12" s="29"/>
      <c r="X12" s="29"/>
    </row>
    <row r="13" spans="1:60" ht="15.75" customHeight="1" outlineLevel="2" x14ac:dyDescent="0.35">
      <c r="A13" s="30" t="s">
        <v>85</v>
      </c>
      <c r="B13" s="31" t="s">
        <v>74</v>
      </c>
      <c r="C13" s="32" t="s">
        <v>86</v>
      </c>
      <c r="D13" s="30" t="s">
        <v>11</v>
      </c>
      <c r="E13" s="30">
        <v>5</v>
      </c>
      <c r="F13" s="30">
        <v>7</v>
      </c>
      <c r="G13" s="30">
        <f t="shared" si="0"/>
        <v>3</v>
      </c>
      <c r="H13" s="30">
        <v>5</v>
      </c>
      <c r="I13" s="32"/>
      <c r="J13" s="32"/>
      <c r="K13" s="31" t="s">
        <v>69</v>
      </c>
      <c r="L13" s="32"/>
      <c r="Q13" s="33"/>
      <c r="R13" s="33"/>
      <c r="S13" s="33"/>
    </row>
    <row r="14" spans="1:60" ht="15.75" customHeight="1" outlineLevel="2" x14ac:dyDescent="0.35">
      <c r="A14" s="30" t="s">
        <v>87</v>
      </c>
      <c r="B14" s="31" t="s">
        <v>74</v>
      </c>
      <c r="C14" s="32" t="s">
        <v>88</v>
      </c>
      <c r="D14" s="30" t="s">
        <v>84</v>
      </c>
      <c r="E14" s="30">
        <v>7</v>
      </c>
      <c r="F14" s="30">
        <v>10</v>
      </c>
      <c r="G14" s="30">
        <f t="shared" si="0"/>
        <v>4</v>
      </c>
      <c r="H14" s="30">
        <v>8</v>
      </c>
      <c r="I14" s="32"/>
      <c r="J14" s="32"/>
      <c r="K14" s="31" t="s">
        <v>69</v>
      </c>
      <c r="L14" s="32"/>
      <c r="S14" s="33"/>
      <c r="T14" s="33"/>
      <c r="U14" s="33"/>
      <c r="V14" s="33"/>
    </row>
    <row r="15" spans="1:60" ht="15.75" customHeight="1" outlineLevel="2" x14ac:dyDescent="0.35">
      <c r="A15" s="30" t="s">
        <v>89</v>
      </c>
      <c r="B15" s="31" t="s">
        <v>74</v>
      </c>
      <c r="C15" s="32" t="s">
        <v>90</v>
      </c>
      <c r="D15" s="30" t="s">
        <v>15</v>
      </c>
      <c r="E15" s="30">
        <v>10</v>
      </c>
      <c r="F15" s="30">
        <v>12</v>
      </c>
      <c r="G15" s="30">
        <f t="shared" si="0"/>
        <v>3</v>
      </c>
      <c r="H15" s="30">
        <v>5</v>
      </c>
      <c r="I15" s="32"/>
      <c r="J15" s="32"/>
      <c r="K15" s="31" t="s">
        <v>69</v>
      </c>
      <c r="L15" s="32"/>
      <c r="V15" s="34"/>
      <c r="W15" s="34"/>
      <c r="X15" s="34"/>
    </row>
    <row r="16" spans="1:60" ht="18" customHeight="1" outlineLevel="1" x14ac:dyDescent="0.35">
      <c r="A16" s="26" t="s">
        <v>91</v>
      </c>
      <c r="B16" s="27" t="s">
        <v>71</v>
      </c>
      <c r="C16" s="28" t="s">
        <v>92</v>
      </c>
      <c r="D16" s="26" t="s">
        <v>68</v>
      </c>
      <c r="E16" s="26">
        <v>1</v>
      </c>
      <c r="F16" s="26">
        <v>48</v>
      </c>
      <c r="G16" s="26">
        <f t="shared" si="0"/>
        <v>48</v>
      </c>
      <c r="H16" s="26">
        <f>SUM(H17:H20)</f>
        <v>23</v>
      </c>
      <c r="I16" s="28"/>
      <c r="J16" s="28"/>
      <c r="K16" s="27" t="s">
        <v>69</v>
      </c>
      <c r="L16" s="28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</row>
    <row r="17" spans="1:60" ht="15.75" customHeight="1" outlineLevel="2" x14ac:dyDescent="0.35">
      <c r="A17" s="30" t="s">
        <v>93</v>
      </c>
      <c r="B17" s="31" t="s">
        <v>74</v>
      </c>
      <c r="C17" s="32" t="s">
        <v>94</v>
      </c>
      <c r="D17" s="30" t="s">
        <v>11</v>
      </c>
      <c r="E17" s="30">
        <v>7</v>
      </c>
      <c r="F17" s="30">
        <v>8</v>
      </c>
      <c r="G17" s="30">
        <f t="shared" si="0"/>
        <v>2</v>
      </c>
      <c r="H17" s="30">
        <v>5</v>
      </c>
      <c r="I17" s="32"/>
      <c r="J17" s="32"/>
      <c r="K17" s="31" t="s">
        <v>69</v>
      </c>
      <c r="L17" s="32"/>
      <c r="S17" s="33"/>
      <c r="T17" s="33"/>
    </row>
    <row r="18" spans="1:60" ht="15.75" customHeight="1" outlineLevel="2" x14ac:dyDescent="0.35">
      <c r="A18" s="30" t="s">
        <v>95</v>
      </c>
      <c r="B18" s="31" t="s">
        <v>74</v>
      </c>
      <c r="C18" s="32" t="s">
        <v>96</v>
      </c>
      <c r="D18" s="30" t="s">
        <v>15</v>
      </c>
      <c r="E18" s="30">
        <v>19</v>
      </c>
      <c r="F18" s="30">
        <v>20</v>
      </c>
      <c r="G18" s="30">
        <f t="shared" si="0"/>
        <v>2</v>
      </c>
      <c r="H18" s="30">
        <v>5</v>
      </c>
      <c r="I18" s="32"/>
      <c r="J18" s="32"/>
      <c r="K18" s="31" t="s">
        <v>69</v>
      </c>
      <c r="L18" s="32"/>
      <c r="AE18" s="34"/>
      <c r="AF18" s="34"/>
    </row>
    <row r="19" spans="1:60" ht="15.75" customHeight="1" outlineLevel="2" x14ac:dyDescent="0.35">
      <c r="A19" s="30" t="s">
        <v>97</v>
      </c>
      <c r="B19" s="31" t="s">
        <v>74</v>
      </c>
      <c r="C19" s="32" t="s">
        <v>98</v>
      </c>
      <c r="D19" s="30" t="s">
        <v>19</v>
      </c>
      <c r="E19" s="30">
        <v>27</v>
      </c>
      <c r="F19" s="30">
        <v>28</v>
      </c>
      <c r="G19" s="30">
        <f t="shared" si="0"/>
        <v>2</v>
      </c>
      <c r="H19" s="30">
        <v>5</v>
      </c>
      <c r="I19" s="32"/>
      <c r="J19" s="32"/>
      <c r="K19" s="31" t="s">
        <v>69</v>
      </c>
      <c r="L19" s="32"/>
      <c r="AM19" s="36"/>
      <c r="AN19" s="36"/>
    </row>
    <row r="20" spans="1:60" ht="15.75" customHeight="1" outlineLevel="2" x14ac:dyDescent="0.35">
      <c r="A20" s="30" t="s">
        <v>99</v>
      </c>
      <c r="B20" s="31" t="s">
        <v>74</v>
      </c>
      <c r="C20" s="32" t="s">
        <v>100</v>
      </c>
      <c r="D20" s="30" t="s">
        <v>101</v>
      </c>
      <c r="E20" s="30">
        <v>31</v>
      </c>
      <c r="F20" s="30">
        <v>44</v>
      </c>
      <c r="G20" s="30">
        <f t="shared" si="0"/>
        <v>14</v>
      </c>
      <c r="H20" s="30">
        <v>8</v>
      </c>
      <c r="I20" s="32"/>
      <c r="J20" s="32"/>
      <c r="K20" s="31" t="s">
        <v>69</v>
      </c>
      <c r="L20" s="32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</row>
    <row r="21" spans="1:60" ht="21.75" customHeight="1" x14ac:dyDescent="0.35">
      <c r="A21" s="21" t="s">
        <v>41</v>
      </c>
      <c r="B21" s="21" t="s">
        <v>66</v>
      </c>
      <c r="C21" s="22" t="s">
        <v>102</v>
      </c>
      <c r="D21" s="21" t="s">
        <v>103</v>
      </c>
      <c r="E21" s="21">
        <v>1</v>
      </c>
      <c r="F21" s="21">
        <v>31</v>
      </c>
      <c r="G21" s="21">
        <f t="shared" si="0"/>
        <v>31</v>
      </c>
      <c r="H21" s="21">
        <f>SUM(H23:H25,H27:H29,H31:H32,H34)</f>
        <v>50</v>
      </c>
      <c r="I21" s="23"/>
      <c r="J21" s="23"/>
      <c r="K21" s="24" t="s">
        <v>69</v>
      </c>
      <c r="L21" s="2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</row>
    <row r="22" spans="1:60" ht="18" customHeight="1" outlineLevel="1" x14ac:dyDescent="0.35">
      <c r="A22" s="26" t="s">
        <v>104</v>
      </c>
      <c r="B22" s="27" t="s">
        <v>71</v>
      </c>
      <c r="C22" s="28" t="s">
        <v>105</v>
      </c>
      <c r="D22" s="26" t="s">
        <v>11</v>
      </c>
      <c r="E22" s="26">
        <v>1</v>
      </c>
      <c r="F22" s="26">
        <v>7</v>
      </c>
      <c r="G22" s="26">
        <f t="shared" si="0"/>
        <v>7</v>
      </c>
      <c r="H22" s="26">
        <f>SUM(H23:H25)</f>
        <v>13</v>
      </c>
      <c r="I22" s="28"/>
      <c r="J22" s="28"/>
      <c r="K22" s="27" t="s">
        <v>69</v>
      </c>
      <c r="L22" s="28"/>
      <c r="M22" s="29"/>
      <c r="N22" s="29"/>
      <c r="O22" s="29"/>
      <c r="P22" s="29"/>
      <c r="Q22" s="29"/>
      <c r="R22" s="29"/>
      <c r="S22" s="29"/>
    </row>
    <row r="23" spans="1:60" ht="15.75" customHeight="1" outlineLevel="2" x14ac:dyDescent="0.35">
      <c r="A23" s="30" t="s">
        <v>106</v>
      </c>
      <c r="B23" s="31" t="s">
        <v>74</v>
      </c>
      <c r="C23" s="32" t="s">
        <v>107</v>
      </c>
      <c r="D23" s="30" t="s">
        <v>11</v>
      </c>
      <c r="E23" s="30">
        <v>1</v>
      </c>
      <c r="F23" s="30">
        <v>3</v>
      </c>
      <c r="G23" s="30">
        <f t="shared" si="0"/>
        <v>3</v>
      </c>
      <c r="H23" s="30">
        <v>5</v>
      </c>
      <c r="I23" s="32"/>
      <c r="J23" s="32"/>
      <c r="K23" s="31" t="s">
        <v>69</v>
      </c>
      <c r="L23" s="32"/>
      <c r="M23" s="33"/>
      <c r="N23" s="33"/>
      <c r="O23" s="33"/>
    </row>
    <row r="24" spans="1:60" ht="15.75" customHeight="1" outlineLevel="2" x14ac:dyDescent="0.35">
      <c r="A24" s="30" t="s">
        <v>108</v>
      </c>
      <c r="B24" s="31" t="s">
        <v>74</v>
      </c>
      <c r="C24" s="32" t="s">
        <v>109</v>
      </c>
      <c r="D24" s="30" t="s">
        <v>11</v>
      </c>
      <c r="E24" s="30">
        <v>3</v>
      </c>
      <c r="F24" s="30">
        <v>5</v>
      </c>
      <c r="G24" s="30">
        <f t="shared" si="0"/>
        <v>3</v>
      </c>
      <c r="H24" s="30">
        <v>5</v>
      </c>
      <c r="I24" s="32"/>
      <c r="J24" s="32"/>
      <c r="K24" s="31" t="s">
        <v>69</v>
      </c>
      <c r="L24" s="32"/>
      <c r="O24" s="33"/>
      <c r="P24" s="33"/>
      <c r="Q24" s="33"/>
    </row>
    <row r="25" spans="1:60" ht="15.75" customHeight="1" outlineLevel="2" x14ac:dyDescent="0.35">
      <c r="A25" s="30" t="s">
        <v>110</v>
      </c>
      <c r="B25" s="31" t="s">
        <v>74</v>
      </c>
      <c r="C25" s="32" t="s">
        <v>111</v>
      </c>
      <c r="D25" s="30" t="s">
        <v>11</v>
      </c>
      <c r="E25" s="30">
        <v>5</v>
      </c>
      <c r="F25" s="30">
        <v>7</v>
      </c>
      <c r="G25" s="30">
        <f t="shared" si="0"/>
        <v>3</v>
      </c>
      <c r="H25" s="30">
        <v>3</v>
      </c>
      <c r="I25" s="32"/>
      <c r="J25" s="32"/>
      <c r="K25" s="31" t="s">
        <v>69</v>
      </c>
      <c r="L25" s="32"/>
      <c r="Q25" s="33"/>
      <c r="R25" s="33"/>
      <c r="S25" s="33"/>
    </row>
    <row r="26" spans="1:60" ht="18" customHeight="1" outlineLevel="1" x14ac:dyDescent="0.35">
      <c r="A26" s="26" t="s">
        <v>112</v>
      </c>
      <c r="B26" s="27" t="s">
        <v>71</v>
      </c>
      <c r="C26" s="28" t="s">
        <v>113</v>
      </c>
      <c r="D26" s="26" t="s">
        <v>15</v>
      </c>
      <c r="E26" s="26">
        <v>9</v>
      </c>
      <c r="F26" s="26">
        <v>16</v>
      </c>
      <c r="G26" s="26">
        <f t="shared" si="0"/>
        <v>8</v>
      </c>
      <c r="H26" s="26">
        <f>SUM(H27:H29)</f>
        <v>16</v>
      </c>
      <c r="I26" s="28"/>
      <c r="J26" s="28"/>
      <c r="K26" s="27" t="s">
        <v>69</v>
      </c>
      <c r="L26" s="28"/>
      <c r="U26" s="35"/>
      <c r="V26" s="35"/>
      <c r="W26" s="35"/>
      <c r="X26" s="35"/>
      <c r="Y26" s="35"/>
      <c r="Z26" s="35"/>
      <c r="AA26" s="35"/>
      <c r="AB26" s="35"/>
    </row>
    <row r="27" spans="1:60" ht="15.75" customHeight="1" outlineLevel="2" x14ac:dyDescent="0.35">
      <c r="A27" s="30" t="s">
        <v>114</v>
      </c>
      <c r="B27" s="31" t="s">
        <v>74</v>
      </c>
      <c r="C27" s="32" t="s">
        <v>115</v>
      </c>
      <c r="D27" s="30" t="s">
        <v>15</v>
      </c>
      <c r="E27" s="30">
        <v>9</v>
      </c>
      <c r="F27" s="30">
        <v>10</v>
      </c>
      <c r="G27" s="30">
        <f t="shared" si="0"/>
        <v>2</v>
      </c>
      <c r="H27" s="30">
        <v>3</v>
      </c>
      <c r="I27" s="32"/>
      <c r="J27" s="32"/>
      <c r="K27" s="31" t="s">
        <v>69</v>
      </c>
      <c r="L27" s="32"/>
      <c r="U27" s="34"/>
      <c r="V27" s="34"/>
    </row>
    <row r="28" spans="1:60" ht="15.75" customHeight="1" outlineLevel="2" x14ac:dyDescent="0.35">
      <c r="A28" s="30" t="s">
        <v>116</v>
      </c>
      <c r="B28" s="31" t="s">
        <v>74</v>
      </c>
      <c r="C28" s="32" t="s">
        <v>117</v>
      </c>
      <c r="D28" s="30" t="s">
        <v>15</v>
      </c>
      <c r="E28" s="30">
        <v>10</v>
      </c>
      <c r="F28" s="30">
        <v>14</v>
      </c>
      <c r="G28" s="30">
        <f t="shared" si="0"/>
        <v>5</v>
      </c>
      <c r="H28" s="30">
        <v>8</v>
      </c>
      <c r="I28" s="32"/>
      <c r="J28" s="32"/>
      <c r="K28" s="31" t="s">
        <v>69</v>
      </c>
      <c r="L28" s="32"/>
      <c r="V28" s="34"/>
      <c r="W28" s="34"/>
      <c r="X28" s="34"/>
      <c r="Y28" s="34"/>
      <c r="Z28" s="34"/>
    </row>
    <row r="29" spans="1:60" ht="15.75" customHeight="1" outlineLevel="2" x14ac:dyDescent="0.35">
      <c r="A29" s="30" t="s">
        <v>118</v>
      </c>
      <c r="B29" s="31" t="s">
        <v>74</v>
      </c>
      <c r="C29" s="32" t="s">
        <v>119</v>
      </c>
      <c r="D29" s="30" t="s">
        <v>15</v>
      </c>
      <c r="E29" s="30">
        <v>14</v>
      </c>
      <c r="F29" s="30">
        <v>16</v>
      </c>
      <c r="G29" s="30">
        <f t="shared" si="0"/>
        <v>3</v>
      </c>
      <c r="H29" s="30">
        <v>5</v>
      </c>
      <c r="I29" s="32"/>
      <c r="J29" s="32"/>
      <c r="K29" s="31" t="s">
        <v>69</v>
      </c>
      <c r="L29" s="32"/>
      <c r="Z29" s="34"/>
      <c r="AA29" s="34"/>
      <c r="AB29" s="34"/>
    </row>
    <row r="30" spans="1:60" ht="18" customHeight="1" outlineLevel="1" x14ac:dyDescent="0.35">
      <c r="A30" s="26" t="s">
        <v>120</v>
      </c>
      <c r="B30" s="27" t="s">
        <v>71</v>
      </c>
      <c r="C30" s="28" t="s">
        <v>121</v>
      </c>
      <c r="D30" s="26" t="s">
        <v>19</v>
      </c>
      <c r="E30" s="26">
        <v>21</v>
      </c>
      <c r="F30" s="26">
        <v>28</v>
      </c>
      <c r="G30" s="26">
        <f t="shared" si="0"/>
        <v>8</v>
      </c>
      <c r="H30" s="26">
        <f>SUM(H31:H32)</f>
        <v>16</v>
      </c>
      <c r="I30" s="28"/>
      <c r="J30" s="28"/>
      <c r="K30" s="27" t="s">
        <v>69</v>
      </c>
      <c r="L30" s="28"/>
      <c r="AG30" s="39"/>
      <c r="AH30" s="39"/>
      <c r="AI30" s="39"/>
      <c r="AJ30" s="39"/>
      <c r="AK30" s="39"/>
      <c r="AL30" s="39"/>
      <c r="AM30" s="39"/>
      <c r="AN30" s="39"/>
    </row>
    <row r="31" spans="1:60" ht="15.75" customHeight="1" outlineLevel="2" x14ac:dyDescent="0.35">
      <c r="A31" s="30" t="s">
        <v>122</v>
      </c>
      <c r="B31" s="31" t="s">
        <v>74</v>
      </c>
      <c r="C31" s="32" t="s">
        <v>123</v>
      </c>
      <c r="D31" s="30" t="s">
        <v>19</v>
      </c>
      <c r="E31" s="30">
        <v>21</v>
      </c>
      <c r="F31" s="30">
        <v>24</v>
      </c>
      <c r="G31" s="30">
        <f t="shared" si="0"/>
        <v>4</v>
      </c>
      <c r="H31" s="30">
        <v>8</v>
      </c>
      <c r="I31" s="32"/>
      <c r="J31" s="32"/>
      <c r="K31" s="31" t="s">
        <v>69</v>
      </c>
      <c r="L31" s="32"/>
      <c r="AG31" s="36"/>
      <c r="AH31" s="36"/>
      <c r="AI31" s="36"/>
      <c r="AJ31" s="36"/>
    </row>
    <row r="32" spans="1:60" ht="15.75" customHeight="1" outlineLevel="2" x14ac:dyDescent="0.35">
      <c r="A32" s="30" t="s">
        <v>124</v>
      </c>
      <c r="B32" s="31" t="s">
        <v>74</v>
      </c>
      <c r="C32" s="32" t="s">
        <v>125</v>
      </c>
      <c r="D32" s="30" t="s">
        <v>19</v>
      </c>
      <c r="E32" s="30">
        <v>24</v>
      </c>
      <c r="F32" s="30">
        <v>28</v>
      </c>
      <c r="G32" s="30">
        <f t="shared" si="0"/>
        <v>5</v>
      </c>
      <c r="H32" s="30">
        <v>8</v>
      </c>
      <c r="I32" s="32"/>
      <c r="J32" s="32"/>
      <c r="K32" s="31" t="s">
        <v>69</v>
      </c>
      <c r="L32" s="32"/>
      <c r="AJ32" s="36"/>
      <c r="AK32" s="36"/>
      <c r="AL32" s="36"/>
      <c r="AM32" s="36"/>
      <c r="AN32" s="36"/>
    </row>
    <row r="33" spans="1:60" ht="18" customHeight="1" outlineLevel="1" x14ac:dyDescent="0.35">
      <c r="A33" s="26" t="s">
        <v>126</v>
      </c>
      <c r="B33" s="27" t="s">
        <v>71</v>
      </c>
      <c r="C33" s="28" t="s">
        <v>127</v>
      </c>
      <c r="D33" s="26" t="s">
        <v>23</v>
      </c>
      <c r="E33" s="26">
        <v>29</v>
      </c>
      <c r="F33" s="26">
        <v>31</v>
      </c>
      <c r="G33" s="26">
        <f t="shared" si="0"/>
        <v>3</v>
      </c>
      <c r="H33" s="26">
        <f>SUM(H34)</f>
        <v>5</v>
      </c>
      <c r="I33" s="28"/>
      <c r="J33" s="28"/>
      <c r="K33" s="27" t="s">
        <v>69</v>
      </c>
      <c r="L33" s="28"/>
      <c r="AO33" s="40"/>
      <c r="AP33" s="40"/>
      <c r="AQ33" s="40"/>
    </row>
    <row r="34" spans="1:60" ht="15.75" customHeight="1" outlineLevel="2" x14ac:dyDescent="0.35">
      <c r="A34" s="30" t="s">
        <v>128</v>
      </c>
      <c r="B34" s="31" t="s">
        <v>74</v>
      </c>
      <c r="C34" s="32" t="s">
        <v>129</v>
      </c>
      <c r="D34" s="30" t="s">
        <v>23</v>
      </c>
      <c r="E34" s="30">
        <v>29</v>
      </c>
      <c r="F34" s="30">
        <v>31</v>
      </c>
      <c r="G34" s="30">
        <f t="shared" si="0"/>
        <v>3</v>
      </c>
      <c r="H34" s="30">
        <v>5</v>
      </c>
      <c r="I34" s="32"/>
      <c r="J34" s="32"/>
      <c r="K34" s="31" t="s">
        <v>69</v>
      </c>
      <c r="L34" s="32"/>
      <c r="AO34" s="41"/>
      <c r="AP34" s="41"/>
      <c r="AQ34" s="41"/>
    </row>
    <row r="35" spans="1:60" ht="21.75" customHeight="1" x14ac:dyDescent="0.35">
      <c r="A35" s="21" t="s">
        <v>42</v>
      </c>
      <c r="B35" s="21" t="s">
        <v>66</v>
      </c>
      <c r="C35" s="22" t="s">
        <v>130</v>
      </c>
      <c r="D35" s="21" t="s">
        <v>84</v>
      </c>
      <c r="E35" s="21">
        <v>1</v>
      </c>
      <c r="F35" s="21">
        <v>16</v>
      </c>
      <c r="G35" s="21">
        <f t="shared" si="0"/>
        <v>16</v>
      </c>
      <c r="H35" s="21">
        <f>SUM(H37:H39,H41:H43)</f>
        <v>19</v>
      </c>
      <c r="I35" s="23"/>
      <c r="J35" s="23"/>
      <c r="K35" s="24" t="s">
        <v>69</v>
      </c>
      <c r="L35" s="23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</row>
    <row r="36" spans="1:60" ht="18" customHeight="1" outlineLevel="1" x14ac:dyDescent="0.35">
      <c r="A36" s="26" t="s">
        <v>131</v>
      </c>
      <c r="B36" s="27" t="s">
        <v>71</v>
      </c>
      <c r="C36" s="28" t="s">
        <v>132</v>
      </c>
      <c r="D36" s="26" t="s">
        <v>11</v>
      </c>
      <c r="E36" s="26">
        <v>1</v>
      </c>
      <c r="F36" s="26">
        <v>6</v>
      </c>
      <c r="G36" s="26">
        <f t="shared" si="0"/>
        <v>6</v>
      </c>
      <c r="H36" s="26">
        <f>SUM(H37:H39)</f>
        <v>8</v>
      </c>
      <c r="I36" s="28"/>
      <c r="J36" s="28"/>
      <c r="K36" s="27" t="s">
        <v>69</v>
      </c>
      <c r="L36" s="28"/>
      <c r="M36" s="29"/>
      <c r="N36" s="29"/>
      <c r="O36" s="29"/>
      <c r="P36" s="29"/>
      <c r="Q36" s="29"/>
      <c r="R36" s="29"/>
    </row>
    <row r="37" spans="1:60" ht="15.75" customHeight="1" outlineLevel="2" x14ac:dyDescent="0.35">
      <c r="A37" s="30" t="s">
        <v>133</v>
      </c>
      <c r="B37" s="31" t="s">
        <v>74</v>
      </c>
      <c r="C37" s="32" t="s">
        <v>134</v>
      </c>
      <c r="D37" s="30" t="s">
        <v>11</v>
      </c>
      <c r="E37" s="30">
        <v>1</v>
      </c>
      <c r="F37" s="30">
        <v>2</v>
      </c>
      <c r="G37" s="30">
        <f t="shared" si="0"/>
        <v>2</v>
      </c>
      <c r="H37" s="30">
        <v>3</v>
      </c>
      <c r="I37" s="32"/>
      <c r="J37" s="32"/>
      <c r="K37" s="31" t="s">
        <v>69</v>
      </c>
      <c r="L37" s="32"/>
      <c r="M37" s="33"/>
      <c r="N37" s="33"/>
    </row>
    <row r="38" spans="1:60" ht="15.75" customHeight="1" outlineLevel="2" x14ac:dyDescent="0.35">
      <c r="A38" s="30" t="s">
        <v>135</v>
      </c>
      <c r="B38" s="31" t="s">
        <v>74</v>
      </c>
      <c r="C38" s="32" t="s">
        <v>136</v>
      </c>
      <c r="D38" s="30" t="s">
        <v>11</v>
      </c>
      <c r="E38" s="30">
        <v>2</v>
      </c>
      <c r="F38" s="30">
        <v>4</v>
      </c>
      <c r="G38" s="30">
        <f t="shared" si="0"/>
        <v>3</v>
      </c>
      <c r="H38" s="30">
        <v>3</v>
      </c>
      <c r="I38" s="32"/>
      <c r="J38" s="32"/>
      <c r="K38" s="31" t="s">
        <v>69</v>
      </c>
      <c r="L38" s="32"/>
      <c r="N38" s="33"/>
      <c r="O38" s="33"/>
      <c r="P38" s="33"/>
    </row>
    <row r="39" spans="1:60" ht="15.75" customHeight="1" outlineLevel="2" x14ac:dyDescent="0.35">
      <c r="A39" s="30" t="s">
        <v>137</v>
      </c>
      <c r="B39" s="31" t="s">
        <v>74</v>
      </c>
      <c r="C39" s="32" t="s">
        <v>138</v>
      </c>
      <c r="D39" s="30" t="s">
        <v>11</v>
      </c>
      <c r="E39" s="30">
        <v>4</v>
      </c>
      <c r="F39" s="30">
        <v>6</v>
      </c>
      <c r="G39" s="30">
        <f t="shared" si="0"/>
        <v>3</v>
      </c>
      <c r="H39" s="30">
        <v>2</v>
      </c>
      <c r="I39" s="32"/>
      <c r="J39" s="32"/>
      <c r="K39" s="31" t="s">
        <v>69</v>
      </c>
      <c r="L39" s="32"/>
      <c r="P39" s="33"/>
      <c r="Q39" s="33"/>
      <c r="R39" s="33"/>
    </row>
    <row r="40" spans="1:60" ht="18" customHeight="1" outlineLevel="1" x14ac:dyDescent="0.35">
      <c r="A40" s="26" t="s">
        <v>139</v>
      </c>
      <c r="B40" s="27" t="s">
        <v>71</v>
      </c>
      <c r="C40" s="28" t="s">
        <v>140</v>
      </c>
      <c r="D40" s="26" t="s">
        <v>15</v>
      </c>
      <c r="E40" s="26">
        <v>9</v>
      </c>
      <c r="F40" s="26">
        <v>16</v>
      </c>
      <c r="G40" s="26">
        <f t="shared" si="0"/>
        <v>8</v>
      </c>
      <c r="H40" s="26">
        <f>SUM(H41:H43)</f>
        <v>11</v>
      </c>
      <c r="I40" s="28"/>
      <c r="J40" s="28"/>
      <c r="K40" s="27" t="s">
        <v>69</v>
      </c>
      <c r="L40" s="28"/>
      <c r="U40" s="35"/>
      <c r="V40" s="35"/>
      <c r="W40" s="35"/>
      <c r="X40" s="35"/>
      <c r="Y40" s="35"/>
      <c r="Z40" s="35"/>
      <c r="AA40" s="35"/>
      <c r="AB40" s="35"/>
    </row>
    <row r="41" spans="1:60" ht="15.75" customHeight="1" outlineLevel="2" x14ac:dyDescent="0.35">
      <c r="A41" s="30" t="s">
        <v>141</v>
      </c>
      <c r="B41" s="31" t="s">
        <v>74</v>
      </c>
      <c r="C41" s="32" t="s">
        <v>142</v>
      </c>
      <c r="D41" s="30" t="s">
        <v>15</v>
      </c>
      <c r="E41" s="30">
        <v>9</v>
      </c>
      <c r="F41" s="30">
        <v>11</v>
      </c>
      <c r="G41" s="30">
        <f t="shared" si="0"/>
        <v>3</v>
      </c>
      <c r="H41" s="30">
        <v>5</v>
      </c>
      <c r="I41" s="32"/>
      <c r="J41" s="32"/>
      <c r="K41" s="31" t="s">
        <v>69</v>
      </c>
      <c r="L41" s="32"/>
      <c r="U41" s="34"/>
      <c r="V41" s="34"/>
      <c r="W41" s="34"/>
    </row>
    <row r="42" spans="1:60" ht="15.75" customHeight="1" outlineLevel="2" x14ac:dyDescent="0.35">
      <c r="A42" s="30" t="s">
        <v>143</v>
      </c>
      <c r="B42" s="31" t="s">
        <v>74</v>
      </c>
      <c r="C42" s="32" t="s">
        <v>144</v>
      </c>
      <c r="D42" s="30" t="s">
        <v>15</v>
      </c>
      <c r="E42" s="30">
        <v>14</v>
      </c>
      <c r="F42" s="30">
        <v>16</v>
      </c>
      <c r="G42" s="30">
        <f t="shared" si="0"/>
        <v>3</v>
      </c>
      <c r="H42" s="30">
        <v>3</v>
      </c>
      <c r="I42" s="32"/>
      <c r="J42" s="32"/>
      <c r="K42" s="31" t="s">
        <v>69</v>
      </c>
      <c r="L42" s="32"/>
      <c r="Z42" s="34"/>
      <c r="AA42" s="34"/>
      <c r="AB42" s="34"/>
    </row>
    <row r="43" spans="1:60" ht="15.75" customHeight="1" outlineLevel="2" x14ac:dyDescent="0.35">
      <c r="A43" s="30" t="s">
        <v>145</v>
      </c>
      <c r="B43" s="31" t="s">
        <v>74</v>
      </c>
      <c r="C43" s="32" t="s">
        <v>146</v>
      </c>
      <c r="D43" s="30" t="s">
        <v>15</v>
      </c>
      <c r="E43" s="30">
        <v>15</v>
      </c>
      <c r="F43" s="30">
        <v>16</v>
      </c>
      <c r="G43" s="30">
        <f t="shared" si="0"/>
        <v>2</v>
      </c>
      <c r="H43" s="30">
        <v>3</v>
      </c>
      <c r="I43" s="32"/>
      <c r="J43" s="32"/>
      <c r="K43" s="31" t="s">
        <v>69</v>
      </c>
      <c r="L43" s="32"/>
      <c r="AA43" s="34"/>
      <c r="AB43" s="34"/>
    </row>
    <row r="44" spans="1:60" ht="21.75" customHeight="1" x14ac:dyDescent="0.35">
      <c r="A44" s="21" t="s">
        <v>147</v>
      </c>
      <c r="B44" s="21" t="s">
        <v>66</v>
      </c>
      <c r="C44" s="22" t="s">
        <v>148</v>
      </c>
      <c r="D44" s="21" t="s">
        <v>149</v>
      </c>
      <c r="E44" s="21">
        <v>1</v>
      </c>
      <c r="F44" s="21">
        <v>36</v>
      </c>
      <c r="G44" s="21">
        <f t="shared" si="0"/>
        <v>36</v>
      </c>
      <c r="H44" s="21">
        <f>SUM(H46:H47,H49:H50,H52:H53)</f>
        <v>27</v>
      </c>
      <c r="I44" s="23"/>
      <c r="J44" s="23"/>
      <c r="K44" s="24" t="s">
        <v>69</v>
      </c>
      <c r="L44" s="23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</row>
    <row r="45" spans="1:60" ht="18" customHeight="1" outlineLevel="1" x14ac:dyDescent="0.35">
      <c r="A45" s="26" t="s">
        <v>150</v>
      </c>
      <c r="B45" s="27" t="s">
        <v>71</v>
      </c>
      <c r="C45" s="28" t="s">
        <v>151</v>
      </c>
      <c r="D45" s="26" t="s">
        <v>11</v>
      </c>
      <c r="E45" s="26">
        <v>1</v>
      </c>
      <c r="F45" s="26">
        <v>6</v>
      </c>
      <c r="G45" s="26">
        <f t="shared" si="0"/>
        <v>6</v>
      </c>
      <c r="H45" s="26">
        <f>SUM(H46:H47)</f>
        <v>11</v>
      </c>
      <c r="I45" s="28"/>
      <c r="J45" s="28"/>
      <c r="K45" s="27" t="s">
        <v>69</v>
      </c>
      <c r="L45" s="28"/>
      <c r="M45" s="29"/>
      <c r="N45" s="29"/>
      <c r="O45" s="29"/>
      <c r="P45" s="29"/>
      <c r="Q45" s="29"/>
      <c r="R45" s="29"/>
    </row>
    <row r="46" spans="1:60" ht="15.75" customHeight="1" outlineLevel="2" x14ac:dyDescent="0.35">
      <c r="A46" s="30" t="s">
        <v>152</v>
      </c>
      <c r="B46" s="31" t="s">
        <v>74</v>
      </c>
      <c r="C46" s="32" t="s">
        <v>153</v>
      </c>
      <c r="D46" s="30" t="s">
        <v>11</v>
      </c>
      <c r="E46" s="30">
        <v>1</v>
      </c>
      <c r="F46" s="30">
        <v>2</v>
      </c>
      <c r="G46" s="30">
        <f t="shared" si="0"/>
        <v>2</v>
      </c>
      <c r="H46" s="30">
        <v>3</v>
      </c>
      <c r="I46" s="32"/>
      <c r="J46" s="32"/>
      <c r="K46" s="31" t="s">
        <v>69</v>
      </c>
      <c r="L46" s="32"/>
      <c r="M46" s="33"/>
      <c r="N46" s="33"/>
    </row>
    <row r="47" spans="1:60" ht="15.75" customHeight="1" outlineLevel="2" x14ac:dyDescent="0.35">
      <c r="A47" s="30" t="s">
        <v>154</v>
      </c>
      <c r="B47" s="31" t="s">
        <v>74</v>
      </c>
      <c r="C47" s="32" t="s">
        <v>155</v>
      </c>
      <c r="D47" s="30" t="s">
        <v>11</v>
      </c>
      <c r="E47" s="30">
        <v>3</v>
      </c>
      <c r="F47" s="30">
        <v>6</v>
      </c>
      <c r="G47" s="30">
        <f t="shared" si="0"/>
        <v>4</v>
      </c>
      <c r="H47" s="30">
        <v>8</v>
      </c>
      <c r="I47" s="32"/>
      <c r="J47" s="32"/>
      <c r="K47" s="31" t="s">
        <v>69</v>
      </c>
      <c r="L47" s="32"/>
      <c r="O47" s="33"/>
      <c r="P47" s="33"/>
      <c r="Q47" s="33"/>
      <c r="R47" s="33"/>
    </row>
    <row r="48" spans="1:60" ht="18" customHeight="1" outlineLevel="1" x14ac:dyDescent="0.35">
      <c r="A48" s="26" t="s">
        <v>156</v>
      </c>
      <c r="B48" s="27" t="s">
        <v>71</v>
      </c>
      <c r="C48" s="28" t="s">
        <v>157</v>
      </c>
      <c r="D48" s="26" t="s">
        <v>15</v>
      </c>
      <c r="E48" s="26">
        <v>9</v>
      </c>
      <c r="F48" s="26">
        <v>14</v>
      </c>
      <c r="G48" s="26">
        <f t="shared" si="0"/>
        <v>6</v>
      </c>
      <c r="H48" s="26">
        <f>SUM(H49:H50)</f>
        <v>10</v>
      </c>
      <c r="I48" s="28"/>
      <c r="J48" s="28"/>
      <c r="K48" s="27" t="s">
        <v>69</v>
      </c>
      <c r="L48" s="28"/>
      <c r="U48" s="35"/>
      <c r="V48" s="35"/>
      <c r="W48" s="35"/>
      <c r="X48" s="35"/>
      <c r="Y48" s="35"/>
      <c r="Z48" s="35"/>
    </row>
    <row r="49" spans="1:60" ht="15.75" customHeight="1" outlineLevel="2" x14ac:dyDescent="0.35">
      <c r="A49" s="30" t="s">
        <v>158</v>
      </c>
      <c r="B49" s="31" t="s">
        <v>74</v>
      </c>
      <c r="C49" s="32" t="s">
        <v>159</v>
      </c>
      <c r="D49" s="30" t="s">
        <v>15</v>
      </c>
      <c r="E49" s="30">
        <v>9</v>
      </c>
      <c r="F49" s="30">
        <v>11</v>
      </c>
      <c r="G49" s="30">
        <f t="shared" si="0"/>
        <v>3</v>
      </c>
      <c r="H49" s="30">
        <v>5</v>
      </c>
      <c r="I49" s="32"/>
      <c r="J49" s="32"/>
      <c r="K49" s="31" t="s">
        <v>69</v>
      </c>
      <c r="L49" s="32"/>
      <c r="U49" s="34"/>
      <c r="V49" s="34"/>
      <c r="W49" s="34"/>
    </row>
    <row r="50" spans="1:60" ht="15.75" customHeight="1" outlineLevel="2" x14ac:dyDescent="0.35">
      <c r="A50" s="30" t="s">
        <v>160</v>
      </c>
      <c r="B50" s="31" t="s">
        <v>74</v>
      </c>
      <c r="C50" s="32" t="s">
        <v>161</v>
      </c>
      <c r="D50" s="30" t="s">
        <v>15</v>
      </c>
      <c r="E50" s="30">
        <v>12</v>
      </c>
      <c r="F50" s="30">
        <v>14</v>
      </c>
      <c r="G50" s="30">
        <f t="shared" si="0"/>
        <v>3</v>
      </c>
      <c r="H50" s="30">
        <v>5</v>
      </c>
      <c r="I50" s="32"/>
      <c r="J50" s="32"/>
      <c r="K50" s="31" t="s">
        <v>69</v>
      </c>
      <c r="L50" s="32"/>
      <c r="X50" s="34"/>
      <c r="Y50" s="34"/>
      <c r="Z50" s="34"/>
    </row>
    <row r="51" spans="1:60" ht="18" customHeight="1" outlineLevel="1" x14ac:dyDescent="0.35">
      <c r="A51" s="26" t="s">
        <v>162</v>
      </c>
      <c r="B51" s="27" t="s">
        <v>71</v>
      </c>
      <c r="C51" s="28" t="s">
        <v>163</v>
      </c>
      <c r="D51" s="26" t="s">
        <v>27</v>
      </c>
      <c r="E51" s="26">
        <v>33</v>
      </c>
      <c r="F51" s="26">
        <v>36</v>
      </c>
      <c r="G51" s="26">
        <f t="shared" si="0"/>
        <v>4</v>
      </c>
      <c r="H51" s="26">
        <f>SUM(H52:H53)</f>
        <v>6</v>
      </c>
      <c r="I51" s="28"/>
      <c r="J51" s="28"/>
      <c r="K51" s="27" t="s">
        <v>69</v>
      </c>
      <c r="L51" s="28"/>
      <c r="AS51" s="42"/>
      <c r="AT51" s="42"/>
      <c r="AU51" s="42"/>
      <c r="AV51" s="42"/>
    </row>
    <row r="52" spans="1:60" ht="15.75" customHeight="1" outlineLevel="2" x14ac:dyDescent="0.35">
      <c r="A52" s="30" t="s">
        <v>164</v>
      </c>
      <c r="B52" s="31" t="s">
        <v>74</v>
      </c>
      <c r="C52" s="32" t="s">
        <v>165</v>
      </c>
      <c r="D52" s="30" t="s">
        <v>27</v>
      </c>
      <c r="E52" s="30">
        <v>33</v>
      </c>
      <c r="F52" s="30">
        <v>34</v>
      </c>
      <c r="G52" s="30">
        <f t="shared" si="0"/>
        <v>2</v>
      </c>
      <c r="H52" s="30">
        <v>3</v>
      </c>
      <c r="I52" s="32"/>
      <c r="J52" s="32"/>
      <c r="K52" s="31" t="s">
        <v>69</v>
      </c>
      <c r="L52" s="32"/>
      <c r="AS52" s="37"/>
      <c r="AT52" s="37"/>
    </row>
    <row r="53" spans="1:60" ht="15.75" customHeight="1" outlineLevel="2" x14ac:dyDescent="0.35">
      <c r="A53" s="30" t="s">
        <v>166</v>
      </c>
      <c r="B53" s="31" t="s">
        <v>74</v>
      </c>
      <c r="C53" s="32" t="s">
        <v>167</v>
      </c>
      <c r="D53" s="30" t="s">
        <v>27</v>
      </c>
      <c r="E53" s="30">
        <v>35</v>
      </c>
      <c r="F53" s="30">
        <v>36</v>
      </c>
      <c r="G53" s="30">
        <f t="shared" si="0"/>
        <v>2</v>
      </c>
      <c r="H53" s="30">
        <v>3</v>
      </c>
      <c r="I53" s="32"/>
      <c r="J53" s="32"/>
      <c r="K53" s="31" t="s">
        <v>69</v>
      </c>
      <c r="L53" s="32"/>
      <c r="AU53" s="37"/>
      <c r="AV53" s="37"/>
    </row>
    <row r="54" spans="1:60" ht="21.75" customHeight="1" x14ac:dyDescent="0.35">
      <c r="A54" s="21" t="s">
        <v>43</v>
      </c>
      <c r="B54" s="21" t="s">
        <v>66</v>
      </c>
      <c r="C54" s="22" t="s">
        <v>168</v>
      </c>
      <c r="D54" s="21" t="s">
        <v>149</v>
      </c>
      <c r="E54" s="21">
        <v>1</v>
      </c>
      <c r="F54" s="21">
        <v>38</v>
      </c>
      <c r="G54" s="21">
        <f t="shared" si="0"/>
        <v>38</v>
      </c>
      <c r="H54" s="21">
        <f>SUM(H56:H57,H59:H60,H62:H63)</f>
        <v>34</v>
      </c>
      <c r="I54" s="23"/>
      <c r="J54" s="23"/>
      <c r="K54" s="24" t="s">
        <v>69</v>
      </c>
      <c r="L54" s="23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38"/>
      <c r="AZ54" s="38"/>
      <c r="BA54" s="38"/>
      <c r="BB54" s="38"/>
      <c r="BC54" s="38"/>
      <c r="BD54" s="38"/>
      <c r="BE54" s="38"/>
      <c r="BF54" s="38"/>
      <c r="BG54" s="38"/>
      <c r="BH54" s="38"/>
    </row>
    <row r="55" spans="1:60" ht="18" customHeight="1" outlineLevel="1" x14ac:dyDescent="0.35">
      <c r="A55" s="26" t="s">
        <v>169</v>
      </c>
      <c r="B55" s="27" t="s">
        <v>71</v>
      </c>
      <c r="C55" s="28" t="s">
        <v>170</v>
      </c>
      <c r="D55" s="26" t="s">
        <v>11</v>
      </c>
      <c r="E55" s="26">
        <v>1</v>
      </c>
      <c r="F55" s="26">
        <v>5</v>
      </c>
      <c r="G55" s="26">
        <f t="shared" si="0"/>
        <v>5</v>
      </c>
      <c r="H55" s="26">
        <f>SUM(H56:H57)</f>
        <v>8</v>
      </c>
      <c r="I55" s="28"/>
      <c r="J55" s="28"/>
      <c r="K55" s="27" t="s">
        <v>69</v>
      </c>
      <c r="L55" s="28"/>
      <c r="M55" s="29"/>
      <c r="N55" s="29"/>
      <c r="O55" s="29"/>
      <c r="P55" s="29"/>
      <c r="Q55" s="29"/>
    </row>
    <row r="56" spans="1:60" ht="15.75" customHeight="1" outlineLevel="2" x14ac:dyDescent="0.35">
      <c r="A56" s="30" t="s">
        <v>171</v>
      </c>
      <c r="B56" s="31" t="s">
        <v>74</v>
      </c>
      <c r="C56" s="32" t="s">
        <v>172</v>
      </c>
      <c r="D56" s="30" t="s">
        <v>11</v>
      </c>
      <c r="E56" s="30">
        <v>1</v>
      </c>
      <c r="F56" s="30">
        <v>2</v>
      </c>
      <c r="G56" s="30">
        <f t="shared" si="0"/>
        <v>2</v>
      </c>
      <c r="H56" s="30">
        <v>3</v>
      </c>
      <c r="I56" s="32"/>
      <c r="J56" s="32"/>
      <c r="K56" s="31" t="s">
        <v>69</v>
      </c>
      <c r="L56" s="32"/>
      <c r="M56" s="33"/>
      <c r="N56" s="33"/>
    </row>
    <row r="57" spans="1:60" ht="15.75" customHeight="1" outlineLevel="2" x14ac:dyDescent="0.35">
      <c r="A57" s="30" t="s">
        <v>173</v>
      </c>
      <c r="B57" s="31" t="s">
        <v>74</v>
      </c>
      <c r="C57" s="32" t="s">
        <v>174</v>
      </c>
      <c r="D57" s="30" t="s">
        <v>11</v>
      </c>
      <c r="E57" s="30">
        <v>3</v>
      </c>
      <c r="F57" s="30">
        <v>5</v>
      </c>
      <c r="G57" s="30">
        <f t="shared" si="0"/>
        <v>3</v>
      </c>
      <c r="H57" s="30">
        <v>5</v>
      </c>
      <c r="I57" s="32"/>
      <c r="J57" s="32"/>
      <c r="K57" s="31" t="s">
        <v>69</v>
      </c>
      <c r="L57" s="32"/>
      <c r="O57" s="33"/>
      <c r="P57" s="33"/>
      <c r="Q57" s="33"/>
    </row>
    <row r="58" spans="1:60" ht="18" customHeight="1" outlineLevel="1" x14ac:dyDescent="0.35">
      <c r="A58" s="26" t="s">
        <v>175</v>
      </c>
      <c r="B58" s="27" t="s">
        <v>71</v>
      </c>
      <c r="C58" s="28" t="s">
        <v>176</v>
      </c>
      <c r="D58" s="26" t="s">
        <v>15</v>
      </c>
      <c r="E58" s="26">
        <v>10</v>
      </c>
      <c r="F58" s="26">
        <v>16</v>
      </c>
      <c r="G58" s="26">
        <f t="shared" si="0"/>
        <v>7</v>
      </c>
      <c r="H58" s="26">
        <f>SUM(H59:H60)</f>
        <v>13</v>
      </c>
      <c r="I58" s="28"/>
      <c r="J58" s="28"/>
      <c r="K58" s="27" t="s">
        <v>69</v>
      </c>
      <c r="L58" s="28"/>
      <c r="V58" s="35"/>
      <c r="W58" s="35"/>
      <c r="X58" s="35"/>
      <c r="Y58" s="35"/>
      <c r="Z58" s="35"/>
      <c r="AA58" s="35"/>
      <c r="AB58" s="35"/>
    </row>
    <row r="59" spans="1:60" ht="15.75" customHeight="1" outlineLevel="2" x14ac:dyDescent="0.35">
      <c r="A59" s="30" t="s">
        <v>177</v>
      </c>
      <c r="B59" s="31" t="s">
        <v>74</v>
      </c>
      <c r="C59" s="32" t="s">
        <v>178</v>
      </c>
      <c r="D59" s="30" t="s">
        <v>15</v>
      </c>
      <c r="E59" s="30">
        <v>10</v>
      </c>
      <c r="F59" s="30">
        <v>12</v>
      </c>
      <c r="G59" s="30">
        <f t="shared" si="0"/>
        <v>3</v>
      </c>
      <c r="H59" s="30">
        <v>8</v>
      </c>
      <c r="I59" s="32"/>
      <c r="J59" s="32"/>
      <c r="K59" s="31" t="s">
        <v>69</v>
      </c>
      <c r="L59" s="32"/>
      <c r="V59" s="34"/>
      <c r="W59" s="34"/>
      <c r="X59" s="34"/>
    </row>
    <row r="60" spans="1:60" ht="15.75" customHeight="1" outlineLevel="2" x14ac:dyDescent="0.35">
      <c r="A60" s="30" t="s">
        <v>179</v>
      </c>
      <c r="B60" s="31" t="s">
        <v>74</v>
      </c>
      <c r="C60" s="32" t="s">
        <v>180</v>
      </c>
      <c r="D60" s="30" t="s">
        <v>15</v>
      </c>
      <c r="E60" s="30">
        <v>13</v>
      </c>
      <c r="F60" s="30">
        <v>16</v>
      </c>
      <c r="G60" s="30">
        <f t="shared" si="0"/>
        <v>4</v>
      </c>
      <c r="H60" s="30">
        <v>5</v>
      </c>
      <c r="I60" s="32"/>
      <c r="J60" s="32"/>
      <c r="K60" s="31" t="s">
        <v>69</v>
      </c>
      <c r="L60" s="32"/>
      <c r="Y60" s="34"/>
      <c r="Z60" s="34"/>
      <c r="AA60" s="34"/>
      <c r="AB60" s="34"/>
    </row>
    <row r="61" spans="1:60" ht="18" customHeight="1" outlineLevel="1" x14ac:dyDescent="0.35">
      <c r="A61" s="26" t="s">
        <v>181</v>
      </c>
      <c r="B61" s="27" t="s">
        <v>71</v>
      </c>
      <c r="C61" s="28" t="s">
        <v>182</v>
      </c>
      <c r="D61" s="26" t="s">
        <v>27</v>
      </c>
      <c r="E61" s="26">
        <v>33</v>
      </c>
      <c r="F61" s="26">
        <v>38</v>
      </c>
      <c r="G61" s="26">
        <f t="shared" si="0"/>
        <v>6</v>
      </c>
      <c r="H61" s="26">
        <f>SUM(H62:H63)</f>
        <v>13</v>
      </c>
      <c r="I61" s="28"/>
      <c r="J61" s="28"/>
      <c r="K61" s="27" t="s">
        <v>69</v>
      </c>
      <c r="L61" s="28"/>
      <c r="AS61" s="42"/>
      <c r="AT61" s="42"/>
      <c r="AU61" s="42"/>
      <c r="AV61" s="42"/>
      <c r="AW61" s="42"/>
      <c r="AX61" s="42"/>
    </row>
    <row r="62" spans="1:60" ht="15.75" customHeight="1" outlineLevel="2" x14ac:dyDescent="0.35">
      <c r="A62" s="30" t="s">
        <v>183</v>
      </c>
      <c r="B62" s="31" t="s">
        <v>74</v>
      </c>
      <c r="C62" s="32" t="s">
        <v>184</v>
      </c>
      <c r="D62" s="30" t="s">
        <v>27</v>
      </c>
      <c r="E62" s="30">
        <v>33</v>
      </c>
      <c r="F62" s="30">
        <v>35</v>
      </c>
      <c r="G62" s="30">
        <f t="shared" si="0"/>
        <v>3</v>
      </c>
      <c r="H62" s="30">
        <v>5</v>
      </c>
      <c r="I62" s="32"/>
      <c r="J62" s="32"/>
      <c r="K62" s="31" t="s">
        <v>69</v>
      </c>
      <c r="L62" s="32"/>
      <c r="AS62" s="37"/>
      <c r="AT62" s="37"/>
      <c r="AU62" s="37"/>
    </row>
    <row r="63" spans="1:60" ht="15.75" customHeight="1" outlineLevel="2" x14ac:dyDescent="0.35">
      <c r="A63" s="30" t="s">
        <v>185</v>
      </c>
      <c r="B63" s="31" t="s">
        <v>74</v>
      </c>
      <c r="C63" s="32" t="s">
        <v>186</v>
      </c>
      <c r="D63" s="30" t="s">
        <v>27</v>
      </c>
      <c r="E63" s="30">
        <v>36</v>
      </c>
      <c r="F63" s="30">
        <v>38</v>
      </c>
      <c r="G63" s="30">
        <f t="shared" si="0"/>
        <v>3</v>
      </c>
      <c r="H63" s="30">
        <v>8</v>
      </c>
      <c r="I63" s="32"/>
      <c r="J63" s="32"/>
      <c r="K63" s="31" t="s">
        <v>69</v>
      </c>
      <c r="L63" s="32"/>
      <c r="AV63" s="37"/>
      <c r="AW63" s="37"/>
      <c r="AX63" s="37"/>
    </row>
    <row r="64" spans="1:60" ht="21.75" customHeight="1" x14ac:dyDescent="0.35">
      <c r="A64" s="21" t="s">
        <v>187</v>
      </c>
      <c r="B64" s="21" t="s">
        <v>66</v>
      </c>
      <c r="C64" s="22" t="s">
        <v>188</v>
      </c>
      <c r="D64" s="21" t="s">
        <v>149</v>
      </c>
      <c r="E64" s="21">
        <v>1</v>
      </c>
      <c r="F64" s="21">
        <v>40</v>
      </c>
      <c r="G64" s="21">
        <f t="shared" si="0"/>
        <v>40</v>
      </c>
      <c r="H64" s="21">
        <f>SUM(H66:H68,H70:H71,H73:H74)</f>
        <v>37</v>
      </c>
      <c r="I64" s="23"/>
      <c r="J64" s="23"/>
      <c r="K64" s="24" t="s">
        <v>69</v>
      </c>
      <c r="L64" s="23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38"/>
      <c r="BB64" s="38"/>
      <c r="BC64" s="38"/>
      <c r="BD64" s="38"/>
      <c r="BE64" s="38"/>
      <c r="BF64" s="38"/>
      <c r="BG64" s="38"/>
      <c r="BH64" s="38"/>
    </row>
    <row r="65" spans="1:60" ht="18" customHeight="1" outlineLevel="1" x14ac:dyDescent="0.35">
      <c r="A65" s="26" t="s">
        <v>189</v>
      </c>
      <c r="B65" s="27" t="s">
        <v>71</v>
      </c>
      <c r="C65" s="28" t="s">
        <v>190</v>
      </c>
      <c r="D65" s="26" t="s">
        <v>11</v>
      </c>
      <c r="E65" s="26">
        <v>1</v>
      </c>
      <c r="F65" s="26">
        <v>7</v>
      </c>
      <c r="G65" s="26">
        <f t="shared" si="0"/>
        <v>7</v>
      </c>
      <c r="H65" s="26">
        <f>SUM(H66:H68)</f>
        <v>11</v>
      </c>
      <c r="I65" s="28"/>
      <c r="J65" s="28"/>
      <c r="K65" s="27" t="s">
        <v>69</v>
      </c>
      <c r="L65" s="28"/>
      <c r="M65" s="29"/>
      <c r="N65" s="29"/>
      <c r="O65" s="29"/>
      <c r="P65" s="29"/>
      <c r="Q65" s="29"/>
      <c r="R65" s="29"/>
      <c r="S65" s="29"/>
    </row>
    <row r="66" spans="1:60" ht="15.75" customHeight="1" outlineLevel="2" x14ac:dyDescent="0.35">
      <c r="A66" s="30" t="s">
        <v>191</v>
      </c>
      <c r="B66" s="31" t="s">
        <v>74</v>
      </c>
      <c r="C66" s="32" t="s">
        <v>192</v>
      </c>
      <c r="D66" s="30" t="s">
        <v>11</v>
      </c>
      <c r="E66" s="30">
        <v>1</v>
      </c>
      <c r="F66" s="30">
        <v>2</v>
      </c>
      <c r="G66" s="30">
        <f t="shared" si="0"/>
        <v>2</v>
      </c>
      <c r="H66" s="30">
        <v>3</v>
      </c>
      <c r="I66" s="32"/>
      <c r="J66" s="32"/>
      <c r="K66" s="31" t="s">
        <v>69</v>
      </c>
      <c r="L66" s="32"/>
      <c r="M66" s="33"/>
      <c r="N66" s="33"/>
    </row>
    <row r="67" spans="1:60" ht="15.75" customHeight="1" outlineLevel="2" x14ac:dyDescent="0.35">
      <c r="A67" s="30" t="s">
        <v>193</v>
      </c>
      <c r="B67" s="31" t="s">
        <v>74</v>
      </c>
      <c r="C67" s="32" t="s">
        <v>194</v>
      </c>
      <c r="D67" s="30" t="s">
        <v>11</v>
      </c>
      <c r="E67" s="30">
        <v>2</v>
      </c>
      <c r="F67" s="30">
        <v>4</v>
      </c>
      <c r="G67" s="30">
        <f t="shared" si="0"/>
        <v>3</v>
      </c>
      <c r="H67" s="30">
        <v>3</v>
      </c>
      <c r="I67" s="32"/>
      <c r="J67" s="32"/>
      <c r="K67" s="31" t="s">
        <v>69</v>
      </c>
      <c r="L67" s="32"/>
      <c r="N67" s="33"/>
      <c r="O67" s="33"/>
      <c r="P67" s="33"/>
    </row>
    <row r="68" spans="1:60" ht="15.75" customHeight="1" outlineLevel="2" x14ac:dyDescent="0.35">
      <c r="A68" s="30" t="s">
        <v>195</v>
      </c>
      <c r="B68" s="31" t="s">
        <v>74</v>
      </c>
      <c r="C68" s="32" t="s">
        <v>196</v>
      </c>
      <c r="D68" s="30" t="s">
        <v>11</v>
      </c>
      <c r="E68" s="30">
        <v>5</v>
      </c>
      <c r="F68" s="30">
        <v>7</v>
      </c>
      <c r="G68" s="30">
        <f t="shared" si="0"/>
        <v>3</v>
      </c>
      <c r="H68" s="30">
        <v>5</v>
      </c>
      <c r="I68" s="32"/>
      <c r="J68" s="32"/>
      <c r="K68" s="31" t="s">
        <v>69</v>
      </c>
      <c r="L68" s="32"/>
      <c r="Q68" s="33"/>
      <c r="R68" s="33"/>
      <c r="S68" s="33"/>
    </row>
    <row r="69" spans="1:60" ht="18" customHeight="1" outlineLevel="1" x14ac:dyDescent="0.35">
      <c r="A69" s="26" t="s">
        <v>197</v>
      </c>
      <c r="B69" s="27" t="s">
        <v>71</v>
      </c>
      <c r="C69" s="28" t="s">
        <v>198</v>
      </c>
      <c r="D69" s="26" t="s">
        <v>15</v>
      </c>
      <c r="E69" s="26">
        <v>11</v>
      </c>
      <c r="F69" s="26">
        <v>18</v>
      </c>
      <c r="G69" s="26">
        <f t="shared" si="0"/>
        <v>8</v>
      </c>
      <c r="H69" s="26">
        <f>SUM(H70:H71)</f>
        <v>13</v>
      </c>
      <c r="I69" s="28"/>
      <c r="J69" s="28"/>
      <c r="K69" s="27" t="s">
        <v>69</v>
      </c>
      <c r="L69" s="28"/>
      <c r="W69" s="35"/>
      <c r="X69" s="35"/>
      <c r="Y69" s="35"/>
      <c r="Z69" s="35"/>
      <c r="AA69" s="35"/>
      <c r="AB69" s="35"/>
      <c r="AC69" s="35"/>
      <c r="AD69" s="35"/>
    </row>
    <row r="70" spans="1:60" ht="15.75" customHeight="1" outlineLevel="2" x14ac:dyDescent="0.35">
      <c r="A70" s="30" t="s">
        <v>199</v>
      </c>
      <c r="B70" s="31" t="s">
        <v>74</v>
      </c>
      <c r="C70" s="32" t="s">
        <v>200</v>
      </c>
      <c r="D70" s="30" t="s">
        <v>15</v>
      </c>
      <c r="E70" s="30">
        <v>11</v>
      </c>
      <c r="F70" s="30">
        <v>13</v>
      </c>
      <c r="G70" s="30">
        <f t="shared" si="0"/>
        <v>3</v>
      </c>
      <c r="H70" s="30">
        <v>5</v>
      </c>
      <c r="I70" s="32"/>
      <c r="J70" s="32"/>
      <c r="K70" s="31" t="s">
        <v>69</v>
      </c>
      <c r="L70" s="32"/>
      <c r="W70" s="34"/>
      <c r="X70" s="34"/>
      <c r="Y70" s="34"/>
    </row>
    <row r="71" spans="1:60" ht="15.75" customHeight="1" outlineLevel="2" x14ac:dyDescent="0.35">
      <c r="A71" s="30" t="s">
        <v>201</v>
      </c>
      <c r="B71" s="31" t="s">
        <v>74</v>
      </c>
      <c r="C71" s="32" t="s">
        <v>202</v>
      </c>
      <c r="D71" s="30" t="s">
        <v>15</v>
      </c>
      <c r="E71" s="30">
        <v>14</v>
      </c>
      <c r="F71" s="30">
        <v>18</v>
      </c>
      <c r="G71" s="30">
        <f t="shared" si="0"/>
        <v>5</v>
      </c>
      <c r="H71" s="30">
        <v>8</v>
      </c>
      <c r="I71" s="32"/>
      <c r="J71" s="32"/>
      <c r="K71" s="31" t="s">
        <v>69</v>
      </c>
      <c r="L71" s="32"/>
      <c r="Z71" s="34"/>
      <c r="AA71" s="34"/>
      <c r="AB71" s="34"/>
      <c r="AC71" s="34"/>
      <c r="AD71" s="34"/>
    </row>
    <row r="72" spans="1:60" ht="18" customHeight="1" outlineLevel="1" x14ac:dyDescent="0.35">
      <c r="A72" s="26" t="s">
        <v>203</v>
      </c>
      <c r="B72" s="27" t="s">
        <v>71</v>
      </c>
      <c r="C72" s="28" t="s">
        <v>204</v>
      </c>
      <c r="D72" s="26" t="s">
        <v>27</v>
      </c>
      <c r="E72" s="26">
        <v>35</v>
      </c>
      <c r="F72" s="26">
        <v>40</v>
      </c>
      <c r="G72" s="26">
        <f t="shared" si="0"/>
        <v>6</v>
      </c>
      <c r="H72" s="26">
        <f>SUM(H73:H74)</f>
        <v>13</v>
      </c>
      <c r="I72" s="28"/>
      <c r="J72" s="28"/>
      <c r="K72" s="27" t="s">
        <v>69</v>
      </c>
      <c r="L72" s="28"/>
      <c r="AU72" s="42"/>
      <c r="AV72" s="42"/>
      <c r="AW72" s="42"/>
      <c r="AX72" s="42"/>
      <c r="AY72" s="42"/>
      <c r="AZ72" s="42"/>
    </row>
    <row r="73" spans="1:60" ht="15.75" customHeight="1" outlineLevel="2" x14ac:dyDescent="0.35">
      <c r="A73" s="30" t="s">
        <v>205</v>
      </c>
      <c r="B73" s="31" t="s">
        <v>74</v>
      </c>
      <c r="C73" s="32" t="s">
        <v>206</v>
      </c>
      <c r="D73" s="30" t="s">
        <v>27</v>
      </c>
      <c r="E73" s="30">
        <v>35</v>
      </c>
      <c r="F73" s="30">
        <v>37</v>
      </c>
      <c r="G73" s="30">
        <f t="shared" si="0"/>
        <v>3</v>
      </c>
      <c r="H73" s="30">
        <v>5</v>
      </c>
      <c r="I73" s="32"/>
      <c r="J73" s="32"/>
      <c r="K73" s="31" t="s">
        <v>69</v>
      </c>
      <c r="L73" s="32"/>
      <c r="AU73" s="37"/>
      <c r="AV73" s="37"/>
      <c r="AW73" s="37"/>
    </row>
    <row r="74" spans="1:60" ht="15.75" customHeight="1" outlineLevel="2" x14ac:dyDescent="0.35">
      <c r="A74" s="30" t="s">
        <v>207</v>
      </c>
      <c r="B74" s="31" t="s">
        <v>74</v>
      </c>
      <c r="C74" s="32" t="s">
        <v>208</v>
      </c>
      <c r="D74" s="30" t="s">
        <v>27</v>
      </c>
      <c r="E74" s="30">
        <v>38</v>
      </c>
      <c r="F74" s="30">
        <v>40</v>
      </c>
      <c r="G74" s="30">
        <f t="shared" si="0"/>
        <v>3</v>
      </c>
      <c r="H74" s="30">
        <v>8</v>
      </c>
      <c r="I74" s="32"/>
      <c r="J74" s="32"/>
      <c r="K74" s="31" t="s">
        <v>69</v>
      </c>
      <c r="L74" s="32"/>
      <c r="AX74" s="37"/>
      <c r="AY74" s="37"/>
      <c r="AZ74" s="37"/>
    </row>
    <row r="75" spans="1:60" ht="21.75" customHeight="1" x14ac:dyDescent="0.35">
      <c r="A75" s="21" t="s">
        <v>209</v>
      </c>
      <c r="B75" s="21" t="s">
        <v>66</v>
      </c>
      <c r="C75" s="22" t="s">
        <v>210</v>
      </c>
      <c r="D75" s="21" t="s">
        <v>103</v>
      </c>
      <c r="E75" s="21">
        <v>3</v>
      </c>
      <c r="F75" s="21">
        <v>32</v>
      </c>
      <c r="G75" s="21">
        <f t="shared" si="0"/>
        <v>30</v>
      </c>
      <c r="H75" s="21">
        <f>SUM(H77:H78,H80:H81)</f>
        <v>16</v>
      </c>
      <c r="I75" s="23"/>
      <c r="J75" s="23"/>
      <c r="K75" s="24" t="s">
        <v>69</v>
      </c>
      <c r="L75" s="23"/>
      <c r="M75" s="38"/>
      <c r="N75" s="38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</row>
    <row r="76" spans="1:60" ht="18" customHeight="1" outlineLevel="1" x14ac:dyDescent="0.35">
      <c r="A76" s="26" t="s">
        <v>211</v>
      </c>
      <c r="B76" s="27" t="s">
        <v>71</v>
      </c>
      <c r="C76" s="28" t="s">
        <v>212</v>
      </c>
      <c r="D76" s="26" t="s">
        <v>11</v>
      </c>
      <c r="E76" s="26">
        <v>3</v>
      </c>
      <c r="F76" s="26">
        <v>7</v>
      </c>
      <c r="G76" s="26">
        <f t="shared" si="0"/>
        <v>5</v>
      </c>
      <c r="H76" s="26">
        <f>SUM(H77:H78)</f>
        <v>8</v>
      </c>
      <c r="I76" s="28"/>
      <c r="J76" s="28"/>
      <c r="K76" s="27" t="s">
        <v>69</v>
      </c>
      <c r="L76" s="28"/>
      <c r="O76" s="29"/>
      <c r="P76" s="29"/>
      <c r="Q76" s="29"/>
      <c r="R76" s="29"/>
      <c r="S76" s="29"/>
    </row>
    <row r="77" spans="1:60" ht="15.75" customHeight="1" outlineLevel="2" x14ac:dyDescent="0.35">
      <c r="A77" s="30" t="s">
        <v>213</v>
      </c>
      <c r="B77" s="31" t="s">
        <v>74</v>
      </c>
      <c r="C77" s="32" t="s">
        <v>214</v>
      </c>
      <c r="D77" s="30" t="s">
        <v>11</v>
      </c>
      <c r="E77" s="30">
        <v>3</v>
      </c>
      <c r="F77" s="30">
        <v>4</v>
      </c>
      <c r="G77" s="30">
        <f t="shared" si="0"/>
        <v>2</v>
      </c>
      <c r="H77" s="30">
        <v>3</v>
      </c>
      <c r="I77" s="32"/>
      <c r="J77" s="32"/>
      <c r="K77" s="31" t="s">
        <v>69</v>
      </c>
      <c r="L77" s="32"/>
      <c r="O77" s="33"/>
      <c r="P77" s="33"/>
    </row>
    <row r="78" spans="1:60" ht="15.75" customHeight="1" outlineLevel="2" x14ac:dyDescent="0.35">
      <c r="A78" s="30" t="s">
        <v>215</v>
      </c>
      <c r="B78" s="31" t="s">
        <v>74</v>
      </c>
      <c r="C78" s="32" t="s">
        <v>216</v>
      </c>
      <c r="D78" s="30" t="s">
        <v>11</v>
      </c>
      <c r="E78" s="30">
        <v>5</v>
      </c>
      <c r="F78" s="30">
        <v>7</v>
      </c>
      <c r="G78" s="30">
        <f t="shared" si="0"/>
        <v>3</v>
      </c>
      <c r="H78" s="30">
        <v>5</v>
      </c>
      <c r="I78" s="32"/>
      <c r="J78" s="32"/>
      <c r="K78" s="31" t="s">
        <v>69</v>
      </c>
      <c r="L78" s="32"/>
      <c r="Q78" s="33"/>
      <c r="R78" s="33"/>
      <c r="S78" s="33"/>
    </row>
    <row r="79" spans="1:60" ht="18" customHeight="1" outlineLevel="1" x14ac:dyDescent="0.35">
      <c r="A79" s="26" t="s">
        <v>217</v>
      </c>
      <c r="B79" s="27" t="s">
        <v>71</v>
      </c>
      <c r="C79" s="28" t="s">
        <v>218</v>
      </c>
      <c r="D79" s="26" t="s">
        <v>23</v>
      </c>
      <c r="E79" s="26">
        <v>29</v>
      </c>
      <c r="F79" s="26">
        <v>32</v>
      </c>
      <c r="G79" s="26">
        <f t="shared" si="0"/>
        <v>4</v>
      </c>
      <c r="H79" s="26">
        <f>SUM(H80:H81)</f>
        <v>8</v>
      </c>
      <c r="I79" s="28"/>
      <c r="J79" s="28"/>
      <c r="K79" s="27" t="s">
        <v>69</v>
      </c>
      <c r="L79" s="28"/>
      <c r="AO79" s="40"/>
      <c r="AP79" s="40"/>
      <c r="AQ79" s="40"/>
      <c r="AR79" s="40"/>
    </row>
    <row r="80" spans="1:60" ht="15.75" customHeight="1" outlineLevel="2" x14ac:dyDescent="0.35">
      <c r="A80" s="30" t="s">
        <v>219</v>
      </c>
      <c r="B80" s="31" t="s">
        <v>74</v>
      </c>
      <c r="C80" s="32" t="s">
        <v>220</v>
      </c>
      <c r="D80" s="30" t="s">
        <v>23</v>
      </c>
      <c r="E80" s="30">
        <v>29</v>
      </c>
      <c r="F80" s="30">
        <v>30</v>
      </c>
      <c r="G80" s="30">
        <f t="shared" si="0"/>
        <v>2</v>
      </c>
      <c r="H80" s="30">
        <v>3</v>
      </c>
      <c r="I80" s="32"/>
      <c r="J80" s="32"/>
      <c r="K80" s="31" t="s">
        <v>69</v>
      </c>
      <c r="L80" s="32"/>
      <c r="AO80" s="41"/>
      <c r="AP80" s="41"/>
    </row>
    <row r="81" spans="1:60" ht="15.75" customHeight="1" outlineLevel="2" x14ac:dyDescent="0.35">
      <c r="A81" s="30" t="s">
        <v>221</v>
      </c>
      <c r="B81" s="31" t="s">
        <v>74</v>
      </c>
      <c r="C81" s="32" t="s">
        <v>222</v>
      </c>
      <c r="D81" s="30" t="s">
        <v>23</v>
      </c>
      <c r="E81" s="30">
        <v>31</v>
      </c>
      <c r="F81" s="30">
        <v>32</v>
      </c>
      <c r="G81" s="30">
        <f t="shared" si="0"/>
        <v>2</v>
      </c>
      <c r="H81" s="30">
        <v>5</v>
      </c>
      <c r="I81" s="32"/>
      <c r="J81" s="32"/>
      <c r="K81" s="31" t="s">
        <v>69</v>
      </c>
      <c r="L81" s="32"/>
      <c r="AQ81" s="41"/>
      <c r="AR81" s="41"/>
    </row>
    <row r="82" spans="1:60" ht="21.75" customHeight="1" x14ac:dyDescent="0.35">
      <c r="A82" s="21" t="s">
        <v>44</v>
      </c>
      <c r="B82" s="21" t="s">
        <v>66</v>
      </c>
      <c r="C82" s="22" t="s">
        <v>223</v>
      </c>
      <c r="D82" s="21" t="s">
        <v>149</v>
      </c>
      <c r="E82" s="21">
        <v>5</v>
      </c>
      <c r="F82" s="21">
        <v>40</v>
      </c>
      <c r="G82" s="21">
        <f t="shared" si="0"/>
        <v>36</v>
      </c>
      <c r="H82" s="21">
        <f>SUM(H84:H86,H88:H89)</f>
        <v>21</v>
      </c>
      <c r="I82" s="23"/>
      <c r="J82" s="23"/>
      <c r="K82" s="24" t="s">
        <v>69</v>
      </c>
      <c r="L82" s="23"/>
      <c r="M82" s="38"/>
      <c r="N82" s="38"/>
      <c r="O82" s="38"/>
      <c r="P82" s="38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38"/>
      <c r="BB82" s="38"/>
      <c r="BC82" s="38"/>
      <c r="BD82" s="38"/>
      <c r="BE82" s="38"/>
      <c r="BF82" s="38"/>
      <c r="BG82" s="38"/>
      <c r="BH82" s="38"/>
    </row>
    <row r="83" spans="1:60" ht="18" customHeight="1" outlineLevel="1" x14ac:dyDescent="0.35">
      <c r="A83" s="26" t="s">
        <v>224</v>
      </c>
      <c r="B83" s="27" t="s">
        <v>71</v>
      </c>
      <c r="C83" s="28" t="s">
        <v>225</v>
      </c>
      <c r="D83" s="26" t="s">
        <v>84</v>
      </c>
      <c r="E83" s="26">
        <v>5</v>
      </c>
      <c r="F83" s="26">
        <v>18</v>
      </c>
      <c r="G83" s="26">
        <f t="shared" si="0"/>
        <v>14</v>
      </c>
      <c r="H83" s="26">
        <f>SUM(H84:H86)</f>
        <v>11</v>
      </c>
      <c r="I83" s="28"/>
      <c r="J83" s="28"/>
      <c r="K83" s="27" t="s">
        <v>69</v>
      </c>
      <c r="L83" s="28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</row>
    <row r="84" spans="1:60" ht="15.75" customHeight="1" outlineLevel="2" x14ac:dyDescent="0.35">
      <c r="A84" s="30" t="s">
        <v>226</v>
      </c>
      <c r="B84" s="31" t="s">
        <v>74</v>
      </c>
      <c r="C84" s="32" t="s">
        <v>227</v>
      </c>
      <c r="D84" s="30" t="s">
        <v>11</v>
      </c>
      <c r="E84" s="30">
        <v>5</v>
      </c>
      <c r="F84" s="30">
        <v>6</v>
      </c>
      <c r="G84" s="30">
        <f t="shared" si="0"/>
        <v>2</v>
      </c>
      <c r="H84" s="30">
        <v>3</v>
      </c>
      <c r="I84" s="32"/>
      <c r="J84" s="32"/>
      <c r="K84" s="31" t="s">
        <v>69</v>
      </c>
      <c r="L84" s="32"/>
      <c r="Q84" s="33"/>
      <c r="R84" s="33"/>
    </row>
    <row r="85" spans="1:60" ht="15.75" customHeight="1" outlineLevel="2" x14ac:dyDescent="0.35">
      <c r="A85" s="30" t="s">
        <v>228</v>
      </c>
      <c r="B85" s="31" t="s">
        <v>74</v>
      </c>
      <c r="C85" s="32" t="s">
        <v>229</v>
      </c>
      <c r="D85" s="30" t="s">
        <v>15</v>
      </c>
      <c r="E85" s="30">
        <v>15</v>
      </c>
      <c r="F85" s="30">
        <v>16</v>
      </c>
      <c r="G85" s="30">
        <f t="shared" si="0"/>
        <v>2</v>
      </c>
      <c r="H85" s="30">
        <v>3</v>
      </c>
      <c r="I85" s="32"/>
      <c r="J85" s="32"/>
      <c r="K85" s="31" t="s">
        <v>69</v>
      </c>
      <c r="L85" s="32"/>
      <c r="AA85" s="34"/>
      <c r="AB85" s="34"/>
    </row>
    <row r="86" spans="1:60" ht="15.75" customHeight="1" outlineLevel="2" x14ac:dyDescent="0.35">
      <c r="A86" s="30" t="s">
        <v>230</v>
      </c>
      <c r="B86" s="31" t="s">
        <v>74</v>
      </c>
      <c r="C86" s="32" t="s">
        <v>231</v>
      </c>
      <c r="D86" s="30" t="s">
        <v>15</v>
      </c>
      <c r="E86" s="30">
        <v>16</v>
      </c>
      <c r="F86" s="30">
        <v>18</v>
      </c>
      <c r="G86" s="30">
        <f t="shared" si="0"/>
        <v>3</v>
      </c>
      <c r="H86" s="30">
        <v>5</v>
      </c>
      <c r="I86" s="32"/>
      <c r="J86" s="32"/>
      <c r="K86" s="31" t="s">
        <v>69</v>
      </c>
      <c r="L86" s="32"/>
      <c r="AB86" s="34"/>
      <c r="AC86" s="34"/>
      <c r="AD86" s="34"/>
    </row>
    <row r="87" spans="1:60" ht="18" customHeight="1" outlineLevel="1" x14ac:dyDescent="0.35">
      <c r="A87" s="26" t="s">
        <v>232</v>
      </c>
      <c r="B87" s="27" t="s">
        <v>71</v>
      </c>
      <c r="C87" s="28" t="s">
        <v>233</v>
      </c>
      <c r="D87" s="26" t="s">
        <v>27</v>
      </c>
      <c r="E87" s="26">
        <v>37</v>
      </c>
      <c r="F87" s="26">
        <v>40</v>
      </c>
      <c r="G87" s="26">
        <f t="shared" si="0"/>
        <v>4</v>
      </c>
      <c r="H87" s="26">
        <f>SUM(H88:H89)</f>
        <v>10</v>
      </c>
      <c r="I87" s="28"/>
      <c r="J87" s="28"/>
      <c r="K87" s="27" t="s">
        <v>69</v>
      </c>
      <c r="L87" s="28"/>
      <c r="AW87" s="42"/>
      <c r="AX87" s="42"/>
      <c r="AY87" s="42"/>
      <c r="AZ87" s="42"/>
    </row>
    <row r="88" spans="1:60" ht="15.75" customHeight="1" outlineLevel="2" x14ac:dyDescent="0.35">
      <c r="A88" s="30" t="s">
        <v>234</v>
      </c>
      <c r="B88" s="31" t="s">
        <v>74</v>
      </c>
      <c r="C88" s="32" t="s">
        <v>235</v>
      </c>
      <c r="D88" s="30" t="s">
        <v>27</v>
      </c>
      <c r="E88" s="30">
        <v>37</v>
      </c>
      <c r="F88" s="30">
        <v>38</v>
      </c>
      <c r="G88" s="30">
        <f t="shared" si="0"/>
        <v>2</v>
      </c>
      <c r="H88" s="30">
        <v>5</v>
      </c>
      <c r="I88" s="32"/>
      <c r="J88" s="32"/>
      <c r="K88" s="31" t="s">
        <v>69</v>
      </c>
      <c r="L88" s="32"/>
      <c r="AW88" s="37"/>
      <c r="AX88" s="37"/>
    </row>
    <row r="89" spans="1:60" ht="15.75" customHeight="1" outlineLevel="2" x14ac:dyDescent="0.35">
      <c r="A89" s="30" t="s">
        <v>236</v>
      </c>
      <c r="B89" s="31" t="s">
        <v>74</v>
      </c>
      <c r="C89" s="32" t="s">
        <v>237</v>
      </c>
      <c r="D89" s="30" t="s">
        <v>27</v>
      </c>
      <c r="E89" s="30">
        <v>39</v>
      </c>
      <c r="F89" s="30">
        <v>40</v>
      </c>
      <c r="G89" s="30">
        <f t="shared" si="0"/>
        <v>2</v>
      </c>
      <c r="H89" s="30">
        <v>5</v>
      </c>
      <c r="I89" s="32"/>
      <c r="J89" s="32"/>
      <c r="K89" s="31" t="s">
        <v>69</v>
      </c>
      <c r="L89" s="32"/>
      <c r="AY89" s="37"/>
      <c r="AZ89" s="37"/>
    </row>
    <row r="90" spans="1:60" ht="21.75" customHeight="1" x14ac:dyDescent="0.35">
      <c r="A90" s="21" t="s">
        <v>238</v>
      </c>
      <c r="B90" s="21" t="s">
        <v>66</v>
      </c>
      <c r="C90" s="22" t="s">
        <v>239</v>
      </c>
      <c r="D90" s="21" t="s">
        <v>240</v>
      </c>
      <c r="E90" s="21">
        <v>5</v>
      </c>
      <c r="F90" s="21">
        <v>42</v>
      </c>
      <c r="G90" s="21">
        <f t="shared" si="0"/>
        <v>38</v>
      </c>
      <c r="H90" s="21">
        <f>SUM(H92:H94,H96:H97,H99:H100)</f>
        <v>65</v>
      </c>
      <c r="I90" s="23"/>
      <c r="J90" s="23"/>
      <c r="K90" s="24" t="s">
        <v>69</v>
      </c>
      <c r="L90" s="23"/>
      <c r="M90" s="38"/>
      <c r="N90" s="38"/>
      <c r="O90" s="38"/>
      <c r="P90" s="38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38"/>
      <c r="BD90" s="38"/>
      <c r="BE90" s="38"/>
      <c r="BF90" s="38"/>
      <c r="BG90" s="38"/>
      <c r="BH90" s="38"/>
    </row>
    <row r="91" spans="1:60" ht="18" customHeight="1" outlineLevel="1" x14ac:dyDescent="0.35">
      <c r="A91" s="26" t="s">
        <v>241</v>
      </c>
      <c r="B91" s="27" t="s">
        <v>71</v>
      </c>
      <c r="C91" s="28" t="s">
        <v>242</v>
      </c>
      <c r="D91" s="26" t="s">
        <v>84</v>
      </c>
      <c r="E91" s="26">
        <v>5</v>
      </c>
      <c r="F91" s="26">
        <v>20</v>
      </c>
      <c r="G91" s="26">
        <f t="shared" si="0"/>
        <v>16</v>
      </c>
      <c r="H91" s="26">
        <f>SUM(H92:H94)</f>
        <v>34</v>
      </c>
      <c r="I91" s="28"/>
      <c r="J91" s="28"/>
      <c r="K91" s="27" t="s">
        <v>69</v>
      </c>
      <c r="L91" s="28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</row>
    <row r="92" spans="1:60" ht="15.75" customHeight="1" outlineLevel="2" x14ac:dyDescent="0.35">
      <c r="A92" s="30" t="s">
        <v>243</v>
      </c>
      <c r="B92" s="31" t="s">
        <v>74</v>
      </c>
      <c r="C92" s="32" t="s">
        <v>244</v>
      </c>
      <c r="D92" s="30" t="s">
        <v>84</v>
      </c>
      <c r="E92" s="30">
        <v>5</v>
      </c>
      <c r="F92" s="30">
        <v>10</v>
      </c>
      <c r="G92" s="30">
        <f t="shared" si="0"/>
        <v>6</v>
      </c>
      <c r="H92" s="30">
        <v>13</v>
      </c>
      <c r="I92" s="32"/>
      <c r="J92" s="32"/>
      <c r="K92" s="31" t="s">
        <v>69</v>
      </c>
      <c r="L92" s="32"/>
      <c r="Q92" s="33"/>
      <c r="R92" s="33"/>
      <c r="S92" s="33"/>
      <c r="T92" s="33"/>
      <c r="U92" s="33"/>
      <c r="V92" s="33"/>
    </row>
    <row r="93" spans="1:60" ht="15.75" customHeight="1" outlineLevel="2" x14ac:dyDescent="0.35">
      <c r="A93" s="30" t="s">
        <v>245</v>
      </c>
      <c r="B93" s="31" t="s">
        <v>74</v>
      </c>
      <c r="C93" s="32" t="s">
        <v>246</v>
      </c>
      <c r="D93" s="30" t="s">
        <v>15</v>
      </c>
      <c r="E93" s="30">
        <v>9</v>
      </c>
      <c r="F93" s="30">
        <v>16</v>
      </c>
      <c r="G93" s="30">
        <f t="shared" si="0"/>
        <v>8</v>
      </c>
      <c r="H93" s="30">
        <v>13</v>
      </c>
      <c r="I93" s="32"/>
      <c r="J93" s="32"/>
      <c r="K93" s="31" t="s">
        <v>69</v>
      </c>
      <c r="L93" s="32"/>
      <c r="U93" s="34"/>
      <c r="V93" s="34"/>
      <c r="W93" s="34"/>
      <c r="X93" s="34"/>
      <c r="Y93" s="34"/>
      <c r="Z93" s="34"/>
      <c r="AA93" s="34"/>
      <c r="AB93" s="34"/>
    </row>
    <row r="94" spans="1:60" ht="15.75" customHeight="1" outlineLevel="2" x14ac:dyDescent="0.35">
      <c r="A94" s="30" t="s">
        <v>247</v>
      </c>
      <c r="B94" s="31" t="s">
        <v>74</v>
      </c>
      <c r="C94" s="32" t="s">
        <v>248</v>
      </c>
      <c r="D94" s="30" t="s">
        <v>15</v>
      </c>
      <c r="E94" s="30">
        <v>15</v>
      </c>
      <c r="F94" s="30">
        <v>20</v>
      </c>
      <c r="G94" s="30">
        <f t="shared" si="0"/>
        <v>6</v>
      </c>
      <c r="H94" s="30">
        <v>8</v>
      </c>
      <c r="I94" s="32"/>
      <c r="J94" s="32"/>
      <c r="K94" s="31" t="s">
        <v>69</v>
      </c>
      <c r="L94" s="32"/>
      <c r="AA94" s="34"/>
      <c r="AB94" s="34"/>
      <c r="AC94" s="34"/>
      <c r="AD94" s="34"/>
      <c r="AE94" s="34"/>
      <c r="AF94" s="34"/>
    </row>
    <row r="95" spans="1:60" ht="18" customHeight="1" outlineLevel="1" x14ac:dyDescent="0.35">
      <c r="A95" s="26" t="s">
        <v>249</v>
      </c>
      <c r="B95" s="27" t="s">
        <v>71</v>
      </c>
      <c r="C95" s="28" t="s">
        <v>250</v>
      </c>
      <c r="D95" s="26" t="s">
        <v>23</v>
      </c>
      <c r="E95" s="26">
        <v>29</v>
      </c>
      <c r="F95" s="26">
        <v>32</v>
      </c>
      <c r="G95" s="26">
        <f t="shared" si="0"/>
        <v>4</v>
      </c>
      <c r="H95" s="26">
        <f>SUM(H96:H97)</f>
        <v>10</v>
      </c>
      <c r="I95" s="28"/>
      <c r="J95" s="28"/>
      <c r="K95" s="27" t="s">
        <v>69</v>
      </c>
      <c r="L95" s="28"/>
      <c r="AO95" s="40"/>
      <c r="AP95" s="40"/>
      <c r="AQ95" s="40"/>
      <c r="AR95" s="40"/>
    </row>
    <row r="96" spans="1:60" ht="15.75" customHeight="1" outlineLevel="2" x14ac:dyDescent="0.35">
      <c r="A96" s="30" t="s">
        <v>251</v>
      </c>
      <c r="B96" s="31" t="s">
        <v>74</v>
      </c>
      <c r="C96" s="32" t="s">
        <v>252</v>
      </c>
      <c r="D96" s="30" t="s">
        <v>23</v>
      </c>
      <c r="E96" s="30">
        <v>29</v>
      </c>
      <c r="F96" s="30">
        <v>30</v>
      </c>
      <c r="G96" s="30">
        <f t="shared" si="0"/>
        <v>2</v>
      </c>
      <c r="H96" s="30">
        <v>5</v>
      </c>
      <c r="I96" s="32"/>
      <c r="J96" s="32"/>
      <c r="K96" s="31" t="s">
        <v>69</v>
      </c>
      <c r="L96" s="32"/>
      <c r="AO96" s="41"/>
      <c r="AP96" s="41"/>
    </row>
    <row r="97" spans="1:60" ht="15.75" customHeight="1" outlineLevel="2" x14ac:dyDescent="0.35">
      <c r="A97" s="30" t="s">
        <v>253</v>
      </c>
      <c r="B97" s="31" t="s">
        <v>74</v>
      </c>
      <c r="C97" s="32" t="s">
        <v>254</v>
      </c>
      <c r="D97" s="30" t="s">
        <v>23</v>
      </c>
      <c r="E97" s="30">
        <v>31</v>
      </c>
      <c r="F97" s="30">
        <v>32</v>
      </c>
      <c r="G97" s="30">
        <f t="shared" si="0"/>
        <v>2</v>
      </c>
      <c r="H97" s="30">
        <v>5</v>
      </c>
      <c r="I97" s="32"/>
      <c r="J97" s="32"/>
      <c r="K97" s="31" t="s">
        <v>69</v>
      </c>
      <c r="L97" s="32"/>
      <c r="AQ97" s="41"/>
      <c r="AR97" s="41"/>
    </row>
    <row r="98" spans="1:60" ht="18" customHeight="1" outlineLevel="1" x14ac:dyDescent="0.35">
      <c r="A98" s="26" t="s">
        <v>255</v>
      </c>
      <c r="B98" s="27" t="s">
        <v>71</v>
      </c>
      <c r="C98" s="28" t="s">
        <v>256</v>
      </c>
      <c r="D98" s="26" t="s">
        <v>257</v>
      </c>
      <c r="E98" s="26">
        <v>33</v>
      </c>
      <c r="F98" s="26">
        <v>42</v>
      </c>
      <c r="G98" s="26">
        <f t="shared" si="0"/>
        <v>10</v>
      </c>
      <c r="H98" s="26">
        <f>SUM(H99:H100)</f>
        <v>21</v>
      </c>
      <c r="I98" s="28"/>
      <c r="J98" s="28"/>
      <c r="K98" s="27" t="s">
        <v>69</v>
      </c>
      <c r="L98" s="28"/>
      <c r="AS98" s="42"/>
      <c r="AT98" s="42"/>
      <c r="AU98" s="42"/>
      <c r="AV98" s="42"/>
      <c r="AW98" s="42"/>
      <c r="AX98" s="42"/>
      <c r="AY98" s="42"/>
      <c r="AZ98" s="42"/>
      <c r="BA98" s="42"/>
      <c r="BB98" s="42"/>
    </row>
    <row r="99" spans="1:60" ht="15.75" customHeight="1" outlineLevel="2" x14ac:dyDescent="0.35">
      <c r="A99" s="30" t="s">
        <v>258</v>
      </c>
      <c r="B99" s="31" t="s">
        <v>74</v>
      </c>
      <c r="C99" s="32" t="s">
        <v>259</v>
      </c>
      <c r="D99" s="30" t="s">
        <v>27</v>
      </c>
      <c r="E99" s="30">
        <v>33</v>
      </c>
      <c r="F99" s="30">
        <v>36</v>
      </c>
      <c r="G99" s="30">
        <f t="shared" si="0"/>
        <v>4</v>
      </c>
      <c r="H99" s="30">
        <v>8</v>
      </c>
      <c r="I99" s="32"/>
      <c r="J99" s="32"/>
      <c r="K99" s="31" t="s">
        <v>69</v>
      </c>
      <c r="L99" s="32"/>
      <c r="AS99" s="37"/>
      <c r="AT99" s="37"/>
      <c r="AU99" s="37"/>
      <c r="AV99" s="37"/>
    </row>
    <row r="100" spans="1:60" ht="15.75" customHeight="1" outlineLevel="2" x14ac:dyDescent="0.35">
      <c r="A100" s="30" t="s">
        <v>260</v>
      </c>
      <c r="B100" s="31" t="s">
        <v>74</v>
      </c>
      <c r="C100" s="32" t="s">
        <v>261</v>
      </c>
      <c r="D100" s="30" t="s">
        <v>257</v>
      </c>
      <c r="E100" s="30">
        <v>37</v>
      </c>
      <c r="F100" s="30">
        <v>42</v>
      </c>
      <c r="G100" s="30">
        <f t="shared" si="0"/>
        <v>6</v>
      </c>
      <c r="H100" s="30">
        <v>13</v>
      </c>
      <c r="I100" s="32"/>
      <c r="J100" s="32"/>
      <c r="K100" s="31" t="s">
        <v>69</v>
      </c>
      <c r="L100" s="32"/>
      <c r="AW100" s="37"/>
      <c r="AX100" s="37"/>
      <c r="AY100" s="37"/>
      <c r="AZ100" s="37"/>
      <c r="BA100" s="37"/>
      <c r="BB100" s="37"/>
    </row>
    <row r="101" spans="1:60" ht="21.75" customHeight="1" x14ac:dyDescent="0.35">
      <c r="A101" s="21" t="s">
        <v>262</v>
      </c>
      <c r="B101" s="21" t="s">
        <v>66</v>
      </c>
      <c r="C101" s="22" t="s">
        <v>263</v>
      </c>
      <c r="D101" s="21" t="s">
        <v>264</v>
      </c>
      <c r="E101" s="21">
        <v>13</v>
      </c>
      <c r="F101" s="21">
        <v>48</v>
      </c>
      <c r="G101" s="21">
        <f t="shared" si="0"/>
        <v>36</v>
      </c>
      <c r="H101" s="21">
        <f>SUM(H103:H104,H106:H107,H109:H110)</f>
        <v>63</v>
      </c>
      <c r="I101" s="23"/>
      <c r="J101" s="23"/>
      <c r="K101" s="24" t="s">
        <v>69</v>
      </c>
      <c r="L101" s="23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</row>
    <row r="102" spans="1:60" ht="18" customHeight="1" outlineLevel="1" x14ac:dyDescent="0.35">
      <c r="A102" s="26" t="s">
        <v>265</v>
      </c>
      <c r="B102" s="27" t="s">
        <v>71</v>
      </c>
      <c r="C102" s="28" t="s">
        <v>266</v>
      </c>
      <c r="D102" s="26" t="s">
        <v>267</v>
      </c>
      <c r="E102" s="26">
        <v>13</v>
      </c>
      <c r="F102" s="26">
        <v>24</v>
      </c>
      <c r="G102" s="26">
        <f t="shared" si="0"/>
        <v>12</v>
      </c>
      <c r="H102" s="26">
        <f>SUM(H103:H104)</f>
        <v>26</v>
      </c>
      <c r="I102" s="28"/>
      <c r="J102" s="28"/>
      <c r="K102" s="27" t="s">
        <v>69</v>
      </c>
      <c r="L102" s="28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</row>
    <row r="103" spans="1:60" ht="15.75" customHeight="1" outlineLevel="2" x14ac:dyDescent="0.35">
      <c r="A103" s="30" t="s">
        <v>268</v>
      </c>
      <c r="B103" s="31" t="s">
        <v>74</v>
      </c>
      <c r="C103" s="32" t="s">
        <v>269</v>
      </c>
      <c r="D103" s="30" t="s">
        <v>15</v>
      </c>
      <c r="E103" s="30">
        <v>13</v>
      </c>
      <c r="F103" s="30">
        <v>18</v>
      </c>
      <c r="G103" s="30">
        <f t="shared" si="0"/>
        <v>6</v>
      </c>
      <c r="H103" s="30">
        <v>13</v>
      </c>
      <c r="I103" s="32"/>
      <c r="J103" s="32"/>
      <c r="K103" s="31" t="s">
        <v>69</v>
      </c>
      <c r="L103" s="32"/>
      <c r="Y103" s="34"/>
      <c r="Z103" s="34"/>
      <c r="AA103" s="34"/>
      <c r="AB103" s="34"/>
      <c r="AC103" s="34"/>
      <c r="AD103" s="34"/>
    </row>
    <row r="104" spans="1:60" ht="15.75" customHeight="1" outlineLevel="2" x14ac:dyDescent="0.35">
      <c r="A104" s="30" t="s">
        <v>270</v>
      </c>
      <c r="B104" s="31" t="s">
        <v>74</v>
      </c>
      <c r="C104" s="32" t="s">
        <v>271</v>
      </c>
      <c r="D104" s="30" t="s">
        <v>267</v>
      </c>
      <c r="E104" s="30">
        <v>19</v>
      </c>
      <c r="F104" s="30">
        <v>24</v>
      </c>
      <c r="G104" s="30">
        <f t="shared" si="0"/>
        <v>6</v>
      </c>
      <c r="H104" s="30">
        <v>13</v>
      </c>
      <c r="I104" s="32"/>
      <c r="J104" s="32"/>
      <c r="K104" s="31" t="s">
        <v>69</v>
      </c>
      <c r="L104" s="32"/>
      <c r="AE104" s="36"/>
      <c r="AF104" s="36"/>
      <c r="AG104" s="36"/>
      <c r="AH104" s="36"/>
      <c r="AI104" s="36"/>
      <c r="AJ104" s="36"/>
    </row>
    <row r="105" spans="1:60" ht="18" customHeight="1" outlineLevel="1" x14ac:dyDescent="0.35">
      <c r="A105" s="26" t="s">
        <v>272</v>
      </c>
      <c r="B105" s="27" t="s">
        <v>71</v>
      </c>
      <c r="C105" s="28" t="s">
        <v>273</v>
      </c>
      <c r="D105" s="26" t="s">
        <v>19</v>
      </c>
      <c r="E105" s="26">
        <v>21</v>
      </c>
      <c r="F105" s="26">
        <v>26</v>
      </c>
      <c r="G105" s="26">
        <f t="shared" si="0"/>
        <v>6</v>
      </c>
      <c r="H105" s="26">
        <f>SUM(H106:H107)</f>
        <v>11</v>
      </c>
      <c r="I105" s="28"/>
      <c r="J105" s="28"/>
      <c r="K105" s="27" t="s">
        <v>69</v>
      </c>
      <c r="L105" s="28"/>
      <c r="AG105" s="39"/>
      <c r="AH105" s="39"/>
      <c r="AI105" s="39"/>
      <c r="AJ105" s="39"/>
      <c r="AK105" s="39"/>
      <c r="AL105" s="39"/>
    </row>
    <row r="106" spans="1:60" ht="15.75" customHeight="1" outlineLevel="2" x14ac:dyDescent="0.35">
      <c r="A106" s="30" t="s">
        <v>274</v>
      </c>
      <c r="B106" s="31" t="s">
        <v>74</v>
      </c>
      <c r="C106" s="32" t="s">
        <v>275</v>
      </c>
      <c r="D106" s="30" t="s">
        <v>19</v>
      </c>
      <c r="E106" s="30">
        <v>21</v>
      </c>
      <c r="F106" s="30">
        <v>22</v>
      </c>
      <c r="G106" s="30">
        <f t="shared" si="0"/>
        <v>2</v>
      </c>
      <c r="H106" s="30">
        <v>3</v>
      </c>
      <c r="I106" s="32"/>
      <c r="J106" s="32"/>
      <c r="K106" s="31" t="s">
        <v>69</v>
      </c>
      <c r="L106" s="32"/>
      <c r="AG106" s="36"/>
      <c r="AH106" s="36"/>
    </row>
    <row r="107" spans="1:60" ht="15.75" customHeight="1" outlineLevel="2" x14ac:dyDescent="0.35">
      <c r="A107" s="30" t="s">
        <v>276</v>
      </c>
      <c r="B107" s="31" t="s">
        <v>74</v>
      </c>
      <c r="C107" s="32" t="s">
        <v>277</v>
      </c>
      <c r="D107" s="30" t="s">
        <v>19</v>
      </c>
      <c r="E107" s="30">
        <v>23</v>
      </c>
      <c r="F107" s="30">
        <v>26</v>
      </c>
      <c r="G107" s="30">
        <f t="shared" si="0"/>
        <v>4</v>
      </c>
      <c r="H107" s="30">
        <v>8</v>
      </c>
      <c r="I107" s="32"/>
      <c r="J107" s="32"/>
      <c r="K107" s="31" t="s">
        <v>69</v>
      </c>
      <c r="L107" s="32"/>
      <c r="AI107" s="36"/>
      <c r="AJ107" s="36"/>
      <c r="AK107" s="36"/>
      <c r="AL107" s="36"/>
    </row>
    <row r="108" spans="1:60" ht="18" customHeight="1" outlineLevel="1" x14ac:dyDescent="0.35">
      <c r="A108" s="26" t="s">
        <v>278</v>
      </c>
      <c r="B108" s="27" t="s">
        <v>71</v>
      </c>
      <c r="C108" s="28" t="s">
        <v>279</v>
      </c>
      <c r="D108" s="26" t="s">
        <v>280</v>
      </c>
      <c r="E108" s="26">
        <v>41</v>
      </c>
      <c r="F108" s="26">
        <v>48</v>
      </c>
      <c r="G108" s="26">
        <f t="shared" si="0"/>
        <v>8</v>
      </c>
      <c r="H108" s="26">
        <f>SUM(H109:H110)</f>
        <v>26</v>
      </c>
      <c r="I108" s="28"/>
      <c r="J108" s="28"/>
      <c r="K108" s="27" t="s">
        <v>69</v>
      </c>
      <c r="L108" s="28"/>
      <c r="BA108" s="43"/>
      <c r="BB108" s="43"/>
      <c r="BC108" s="43"/>
      <c r="BD108" s="43"/>
      <c r="BE108" s="43"/>
      <c r="BF108" s="43"/>
      <c r="BG108" s="43"/>
      <c r="BH108" s="43"/>
    </row>
    <row r="109" spans="1:60" ht="15.75" customHeight="1" outlineLevel="2" x14ac:dyDescent="0.35">
      <c r="A109" s="30" t="s">
        <v>281</v>
      </c>
      <c r="B109" s="31" t="s">
        <v>74</v>
      </c>
      <c r="C109" s="32" t="s">
        <v>282</v>
      </c>
      <c r="D109" s="30" t="s">
        <v>31</v>
      </c>
      <c r="E109" s="30">
        <v>41</v>
      </c>
      <c r="F109" s="30">
        <v>44</v>
      </c>
      <c r="G109" s="30">
        <f t="shared" si="0"/>
        <v>4</v>
      </c>
      <c r="H109" s="30">
        <v>13</v>
      </c>
      <c r="I109" s="32"/>
      <c r="J109" s="32"/>
      <c r="K109" s="31" t="s">
        <v>69</v>
      </c>
      <c r="L109" s="32"/>
      <c r="BA109" s="44"/>
      <c r="BB109" s="44"/>
      <c r="BC109" s="44"/>
      <c r="BD109" s="44"/>
    </row>
    <row r="110" spans="1:60" ht="15.75" customHeight="1" outlineLevel="2" x14ac:dyDescent="0.35">
      <c r="A110" s="30" t="s">
        <v>283</v>
      </c>
      <c r="B110" s="31" t="s">
        <v>74</v>
      </c>
      <c r="C110" s="32" t="s">
        <v>284</v>
      </c>
      <c r="D110" s="30" t="s">
        <v>35</v>
      </c>
      <c r="E110" s="30">
        <v>45</v>
      </c>
      <c r="F110" s="30">
        <v>48</v>
      </c>
      <c r="G110" s="30">
        <f t="shared" si="0"/>
        <v>4</v>
      </c>
      <c r="H110" s="30">
        <v>13</v>
      </c>
      <c r="I110" s="32"/>
      <c r="J110" s="32"/>
      <c r="K110" s="31" t="s">
        <v>69</v>
      </c>
      <c r="L110" s="32"/>
      <c r="BE110" s="45"/>
      <c r="BF110" s="45"/>
      <c r="BG110" s="45"/>
      <c r="BH110" s="45"/>
    </row>
    <row r="111" spans="1:60" ht="15.75" customHeight="1" x14ac:dyDescent="0.35"/>
    <row r="112" spans="1:60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9">
    <mergeCell ref="M3:T3"/>
    <mergeCell ref="U3:AF3"/>
    <mergeCell ref="AG3:AN3"/>
    <mergeCell ref="AO3:AR3"/>
    <mergeCell ref="AS3:AZ3"/>
    <mergeCell ref="BA3:BD3"/>
    <mergeCell ref="BE3:BH3"/>
    <mergeCell ref="AO4:AR4"/>
    <mergeCell ref="AS4:AV4"/>
    <mergeCell ref="AW4:AZ4"/>
    <mergeCell ref="BA4:BD4"/>
    <mergeCell ref="BE4:BH4"/>
    <mergeCell ref="AG4:AJ4"/>
    <mergeCell ref="AK4:AN4"/>
    <mergeCell ref="M4:P4"/>
    <mergeCell ref="Q4:T4"/>
    <mergeCell ref="U4:X4"/>
    <mergeCell ref="Y4:AB4"/>
    <mergeCell ref="AC4:AF4"/>
  </mergeCells>
  <pageMargins left="0.75" right="0.75" top="1" bottom="1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97"/>
  <sheetViews>
    <sheetView showGridLines="0" tabSelected="1" topLeftCell="A29" workbookViewId="0">
      <selection activeCell="B32" sqref="B32"/>
    </sheetView>
  </sheetViews>
  <sheetFormatPr defaultColWidth="14.453125" defaultRowHeight="15" customHeight="1" x14ac:dyDescent="0.35"/>
  <cols>
    <col min="1" max="1" width="10" customWidth="1"/>
    <col min="2" max="2" width="44" customWidth="1"/>
    <col min="3" max="3" width="18" customWidth="1"/>
    <col min="4" max="4" width="40" customWidth="1"/>
    <col min="5" max="5" width="20" customWidth="1"/>
    <col min="6" max="26" width="8.7265625" customWidth="1"/>
  </cols>
  <sheetData>
    <row r="1" spans="1:5" ht="25.5" customHeight="1" x14ac:dyDescent="0.35">
      <c r="A1" s="62" t="s">
        <v>1</v>
      </c>
      <c r="B1" s="47"/>
      <c r="C1" s="47"/>
      <c r="D1" s="47"/>
      <c r="E1" s="48"/>
    </row>
    <row r="3" spans="1:5" ht="15.5" x14ac:dyDescent="0.35">
      <c r="A3" s="57" t="s">
        <v>2</v>
      </c>
      <c r="B3" s="58"/>
      <c r="C3" s="58"/>
      <c r="D3" s="58"/>
      <c r="E3" s="58"/>
    </row>
    <row r="4" spans="1:5" ht="27.75" customHeight="1" x14ac:dyDescent="0.35">
      <c r="A4" s="59" t="s">
        <v>3</v>
      </c>
      <c r="B4" s="58"/>
      <c r="C4" s="58"/>
      <c r="D4" s="58"/>
      <c r="E4" s="58"/>
    </row>
    <row r="5" spans="1:5" ht="27.75" customHeight="1" x14ac:dyDescent="0.35">
      <c r="A5" s="59" t="s">
        <v>4</v>
      </c>
      <c r="B5" s="58"/>
      <c r="C5" s="58"/>
      <c r="D5" s="58"/>
      <c r="E5" s="58"/>
    </row>
    <row r="6" spans="1:5" ht="27.75" customHeight="1" x14ac:dyDescent="0.35">
      <c r="A6" s="59" t="s">
        <v>5</v>
      </c>
      <c r="B6" s="58"/>
      <c r="C6" s="58"/>
      <c r="D6" s="58"/>
      <c r="E6" s="58"/>
    </row>
    <row r="7" spans="1:5" ht="27.75" customHeight="1" x14ac:dyDescent="0.35">
      <c r="A7" s="59" t="s">
        <v>293</v>
      </c>
      <c r="B7" s="58"/>
      <c r="C7" s="58"/>
      <c r="D7" s="58"/>
      <c r="E7" s="58"/>
    </row>
    <row r="8" spans="1:5" ht="27.75" customHeight="1" x14ac:dyDescent="0.35">
      <c r="A8" s="59" t="s">
        <v>294</v>
      </c>
      <c r="B8" s="58"/>
      <c r="C8" s="58"/>
      <c r="D8" s="58"/>
      <c r="E8" s="58"/>
    </row>
    <row r="10" spans="1:5" ht="15.5" x14ac:dyDescent="0.35">
      <c r="A10" s="57" t="s">
        <v>6</v>
      </c>
      <c r="B10" s="58"/>
      <c r="C10" s="58"/>
      <c r="D10" s="58"/>
      <c r="E10" s="58"/>
    </row>
    <row r="11" spans="1:5" ht="27.75" customHeight="1" x14ac:dyDescent="0.35">
      <c r="A11" s="59" t="s">
        <v>7</v>
      </c>
      <c r="B11" s="58"/>
      <c r="C11" s="58"/>
      <c r="D11" s="58"/>
      <c r="E11" s="58"/>
    </row>
    <row r="12" spans="1:5" ht="27.75" customHeight="1" x14ac:dyDescent="0.35">
      <c r="A12" s="59" t="s">
        <v>8</v>
      </c>
      <c r="B12" s="58"/>
      <c r="C12" s="58"/>
      <c r="D12" s="58"/>
      <c r="E12" s="58"/>
    </row>
    <row r="13" spans="1:5" ht="27.75" customHeight="1" x14ac:dyDescent="0.35">
      <c r="A13" s="59" t="s">
        <v>9</v>
      </c>
      <c r="B13" s="58"/>
      <c r="C13" s="58"/>
      <c r="D13" s="58"/>
      <c r="E13" s="58"/>
    </row>
    <row r="15" spans="1:5" ht="15.5" x14ac:dyDescent="0.35">
      <c r="A15" s="61" t="s">
        <v>10</v>
      </c>
      <c r="B15" s="58"/>
      <c r="C15" s="58"/>
      <c r="D15" s="58"/>
      <c r="E15" s="58"/>
    </row>
    <row r="16" spans="1:5" ht="18" customHeight="1" x14ac:dyDescent="0.35">
      <c r="A16" s="3" t="s">
        <v>11</v>
      </c>
      <c r="B16" s="4" t="s">
        <v>12</v>
      </c>
      <c r="C16" s="5" t="s">
        <v>13</v>
      </c>
      <c r="D16" s="5" t="s">
        <v>14</v>
      </c>
    </row>
    <row r="17" spans="1:5" ht="18" customHeight="1" x14ac:dyDescent="0.35">
      <c r="A17" s="6" t="s">
        <v>15</v>
      </c>
      <c r="B17" s="4" t="s">
        <v>16</v>
      </c>
      <c r="C17" s="5" t="s">
        <v>17</v>
      </c>
      <c r="D17" s="5" t="s">
        <v>18</v>
      </c>
    </row>
    <row r="18" spans="1:5" ht="18" customHeight="1" x14ac:dyDescent="0.35">
      <c r="A18" s="7" t="s">
        <v>19</v>
      </c>
      <c r="B18" s="4" t="s">
        <v>20</v>
      </c>
      <c r="C18" s="5" t="s">
        <v>21</v>
      </c>
      <c r="D18" s="5" t="s">
        <v>22</v>
      </c>
    </row>
    <row r="19" spans="1:5" ht="18" customHeight="1" x14ac:dyDescent="0.35">
      <c r="A19" s="8" t="s">
        <v>23</v>
      </c>
      <c r="B19" s="4" t="s">
        <v>24</v>
      </c>
      <c r="C19" s="5" t="s">
        <v>25</v>
      </c>
      <c r="D19" s="5" t="s">
        <v>26</v>
      </c>
    </row>
    <row r="20" spans="1:5" ht="18" customHeight="1" x14ac:dyDescent="0.35">
      <c r="A20" s="9" t="s">
        <v>27</v>
      </c>
      <c r="B20" s="4" t="s">
        <v>28</v>
      </c>
      <c r="C20" s="5" t="s">
        <v>29</v>
      </c>
      <c r="D20" s="5" t="s">
        <v>30</v>
      </c>
    </row>
    <row r="21" spans="1:5" ht="18" customHeight="1" x14ac:dyDescent="0.35">
      <c r="A21" s="11" t="s">
        <v>31</v>
      </c>
      <c r="B21" s="4" t="s">
        <v>32</v>
      </c>
      <c r="C21" s="5" t="s">
        <v>33</v>
      </c>
      <c r="D21" s="5" t="s">
        <v>34</v>
      </c>
    </row>
    <row r="22" spans="1:5" ht="18" customHeight="1" x14ac:dyDescent="0.35">
      <c r="A22" s="14" t="s">
        <v>35</v>
      </c>
      <c r="B22" s="4" t="s">
        <v>36</v>
      </c>
      <c r="C22" s="5" t="s">
        <v>37</v>
      </c>
      <c r="D22" s="5" t="s">
        <v>38</v>
      </c>
    </row>
    <row r="23" spans="1:5" ht="15.75" customHeight="1" x14ac:dyDescent="0.35"/>
    <row r="24" spans="1:5" ht="15.75" customHeight="1" x14ac:dyDescent="0.35">
      <c r="A24" s="61" t="s">
        <v>39</v>
      </c>
      <c r="B24" s="58"/>
      <c r="C24" s="58"/>
      <c r="D24" s="58"/>
      <c r="E24" s="58"/>
    </row>
    <row r="25" spans="1:5" ht="15.75" customHeight="1" x14ac:dyDescent="0.35">
      <c r="A25" s="15" t="s">
        <v>40</v>
      </c>
      <c r="B25" s="60" t="s">
        <v>300</v>
      </c>
      <c r="C25" s="58"/>
      <c r="D25" s="58"/>
      <c r="E25" s="58"/>
    </row>
    <row r="26" spans="1:5" ht="15.75" customHeight="1" x14ac:dyDescent="0.35">
      <c r="A26" s="15" t="s">
        <v>41</v>
      </c>
      <c r="B26" s="60" t="s">
        <v>301</v>
      </c>
      <c r="C26" s="58"/>
      <c r="D26" s="58"/>
      <c r="E26" s="58"/>
    </row>
    <row r="27" spans="1:5" ht="15.75" customHeight="1" x14ac:dyDescent="0.35">
      <c r="A27" s="15" t="s">
        <v>42</v>
      </c>
      <c r="B27" s="60" t="s">
        <v>302</v>
      </c>
      <c r="C27" s="58"/>
      <c r="D27" s="58"/>
      <c r="E27" s="58"/>
    </row>
    <row r="28" spans="1:5" ht="15.75" customHeight="1" x14ac:dyDescent="0.35">
      <c r="A28" s="15" t="s">
        <v>43</v>
      </c>
      <c r="B28" s="60" t="s">
        <v>303</v>
      </c>
      <c r="C28" s="58"/>
      <c r="D28" s="58"/>
      <c r="E28" s="58"/>
    </row>
    <row r="29" spans="1:5" ht="15.75" customHeight="1" x14ac:dyDescent="0.35">
      <c r="A29" s="15" t="s">
        <v>44</v>
      </c>
      <c r="B29" s="60" t="s">
        <v>304</v>
      </c>
      <c r="C29" s="58"/>
      <c r="D29" s="58"/>
      <c r="E29" s="58"/>
    </row>
    <row r="30" spans="1:5" ht="15.75" customHeight="1" x14ac:dyDescent="0.35">
      <c r="A30" s="15" t="s">
        <v>45</v>
      </c>
      <c r="B30" s="58" t="s">
        <v>305</v>
      </c>
      <c r="C30" s="58"/>
      <c r="D30" s="58"/>
      <c r="E30" s="58"/>
    </row>
    <row r="31" spans="1:5" ht="27.75" customHeight="1" x14ac:dyDescent="0.35">
      <c r="A31" s="59" t="s">
        <v>299</v>
      </c>
      <c r="B31" s="58"/>
      <c r="C31" s="58"/>
      <c r="D31" s="58"/>
      <c r="E31" s="58"/>
    </row>
    <row r="32" spans="1:5" ht="15.75" customHeight="1" x14ac:dyDescent="0.35"/>
    <row r="33" spans="1:5" ht="15.75" customHeight="1" x14ac:dyDescent="0.35">
      <c r="A33" s="57" t="s">
        <v>46</v>
      </c>
      <c r="B33" s="58"/>
      <c r="C33" s="58"/>
      <c r="D33" s="58"/>
      <c r="E33" s="58"/>
    </row>
    <row r="34" spans="1:5" ht="27.75" customHeight="1" x14ac:dyDescent="0.35">
      <c r="A34" s="59" t="s">
        <v>47</v>
      </c>
      <c r="B34" s="58"/>
      <c r="C34" s="58"/>
      <c r="D34" s="58"/>
      <c r="E34" s="58"/>
    </row>
    <row r="35" spans="1:5" ht="15.75" customHeight="1" x14ac:dyDescent="0.35"/>
    <row r="36" spans="1:5" ht="15.75" customHeight="1" x14ac:dyDescent="0.35">
      <c r="A36" s="57" t="s">
        <v>48</v>
      </c>
      <c r="B36" s="58"/>
      <c r="C36" s="58"/>
      <c r="D36" s="58"/>
      <c r="E36" s="58"/>
    </row>
    <row r="37" spans="1:5" ht="27.75" customHeight="1" x14ac:dyDescent="0.35">
      <c r="A37" s="59" t="s">
        <v>295</v>
      </c>
      <c r="B37" s="58"/>
      <c r="C37" s="58"/>
      <c r="D37" s="58"/>
      <c r="E37" s="58"/>
    </row>
    <row r="38" spans="1:5" ht="27.75" customHeight="1" x14ac:dyDescent="0.35">
      <c r="A38" s="59" t="s">
        <v>296</v>
      </c>
      <c r="B38" s="58"/>
      <c r="C38" s="58"/>
      <c r="D38" s="58"/>
      <c r="E38" s="58"/>
    </row>
    <row r="39" spans="1:5" ht="27.75" customHeight="1" x14ac:dyDescent="0.35">
      <c r="A39" s="59" t="s">
        <v>49</v>
      </c>
      <c r="B39" s="58"/>
      <c r="C39" s="58"/>
      <c r="D39" s="58"/>
      <c r="E39" s="58"/>
    </row>
    <row r="40" spans="1:5" ht="15.75" customHeight="1" x14ac:dyDescent="0.35">
      <c r="A40" s="57" t="s">
        <v>297</v>
      </c>
      <c r="B40" s="58"/>
      <c r="C40" s="58"/>
      <c r="D40" s="58"/>
      <c r="E40" s="58"/>
    </row>
    <row r="41" spans="1:5" ht="15.75" customHeight="1" x14ac:dyDescent="0.35">
      <c r="A41" s="59" t="s">
        <v>298</v>
      </c>
      <c r="B41" s="58"/>
      <c r="C41" s="58"/>
      <c r="D41" s="58"/>
      <c r="E41" s="58"/>
    </row>
    <row r="42" spans="1:5" ht="15.75" customHeight="1" x14ac:dyDescent="0.35"/>
    <row r="43" spans="1:5" ht="15.75" customHeight="1" x14ac:dyDescent="0.35"/>
    <row r="44" spans="1:5" ht="15.75" customHeight="1" x14ac:dyDescent="0.35"/>
    <row r="45" spans="1:5" ht="15.75" customHeight="1" x14ac:dyDescent="0.35"/>
    <row r="46" spans="1:5" ht="15.75" customHeight="1" x14ac:dyDescent="0.35"/>
    <row r="47" spans="1:5" ht="15.75" customHeight="1" x14ac:dyDescent="0.35"/>
    <row r="48" spans="1:5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</sheetData>
  <mergeCells count="28">
    <mergeCell ref="A1:E1"/>
    <mergeCell ref="A3:E3"/>
    <mergeCell ref="A4:E4"/>
    <mergeCell ref="A5:E5"/>
    <mergeCell ref="A6:E6"/>
    <mergeCell ref="A7:E7"/>
    <mergeCell ref="A8:E8"/>
    <mergeCell ref="A10:E10"/>
    <mergeCell ref="A11:E11"/>
    <mergeCell ref="A12:E12"/>
    <mergeCell ref="A13:E13"/>
    <mergeCell ref="A15:E15"/>
    <mergeCell ref="A24:E24"/>
    <mergeCell ref="B25:E25"/>
    <mergeCell ref="A33:E33"/>
    <mergeCell ref="A40:E40"/>
    <mergeCell ref="A41:E41"/>
    <mergeCell ref="A38:E38"/>
    <mergeCell ref="A39:E39"/>
    <mergeCell ref="B26:E26"/>
    <mergeCell ref="B27:E27"/>
    <mergeCell ref="B28:E28"/>
    <mergeCell ref="B29:E29"/>
    <mergeCell ref="B30:E30"/>
    <mergeCell ref="A31:E31"/>
    <mergeCell ref="A34:E34"/>
    <mergeCell ref="A36:E36"/>
    <mergeCell ref="A37:E37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Instructions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ehzem.sheikh@outlook.com</cp:lastModifiedBy>
  <dcterms:modified xsi:type="dcterms:W3CDTF">2026-08-08T14:00:07Z</dcterms:modified>
</cp:coreProperties>
</file>