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" sheetId="1" r:id="rId5"/>
    <sheet state="visible" name="Capacity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Example: if you sleep 7.5 hours a night, type 7.5 here. The weekly figure fills itself.</t>
      </text>
    </comment>
  </commentList>
</comments>
</file>

<file path=xl/sharedStrings.xml><?xml version="1.0" encoding="utf-8"?>
<sst xmlns="http://schemas.openxmlformats.org/spreadsheetml/2006/main" count="151" uniqueCount="88">
  <si>
    <t>Capacity budget</t>
  </si>
  <si>
    <t>Components</t>
  </si>
  <si>
    <t>ENGR 302  ·  part 3 of the week 2 assignment</t>
  </si>
  <si>
    <t>Epics</t>
  </si>
  <si>
    <t>Tasks</t>
  </si>
  <si>
    <t>A week has 168 hours. Fill in what is already spoken for. Everything else is calculated for you.</t>
  </si>
  <si>
    <t>Academics</t>
  </si>
  <si>
    <t>Coursework</t>
  </si>
  <si>
    <t>SNI 2nd assignment</t>
  </si>
  <si>
    <t>Organizing Life</t>
  </si>
  <si>
    <t>Financing</t>
  </si>
  <si>
    <t>handsfree budget</t>
  </si>
  <si>
    <t>prepare for LA</t>
  </si>
  <si>
    <t>Learning and Growing</t>
  </si>
  <si>
    <t>Learning outside Coursework</t>
  </si>
  <si>
    <t>Become Very good at matlab</t>
  </si>
  <si>
    <t>Miscellaneous</t>
  </si>
  <si>
    <t>passport</t>
  </si>
  <si>
    <t>Personal</t>
  </si>
  <si>
    <t>Personal Growth</t>
  </si>
  <si>
    <t>essays I never wrote</t>
  </si>
  <si>
    <t>books I downloaded and never read</t>
  </si>
  <si>
    <t>Don't have a proper money saving plan</t>
  </si>
  <si>
    <t>Personal Relationships</t>
  </si>
  <si>
    <t>eesha's messages I have not yet replied to</t>
  </si>
  <si>
    <t>Fill only the shaded cells. Leave a row blank if it does not apply to you.</t>
  </si>
  <si>
    <t>stopped playing chess and sudoku regularly</t>
  </si>
  <si>
    <t>Faith</t>
  </si>
  <si>
    <t>prayers I keep missing out on</t>
  </si>
  <si>
    <t>Shaded cells</t>
  </si>
  <si>
    <t>Haven't regularly read Quran in a while</t>
  </si>
  <si>
    <t>Faith I have not yet regained yet</t>
  </si>
  <si>
    <t>Tahajjuds I gave up on</t>
  </si>
  <si>
    <t>cleaning my phone</t>
  </si>
  <si>
    <t>the friendship I'm not sure about</t>
  </si>
  <si>
    <t>Career</t>
  </si>
  <si>
    <t>haven't updated linkedin yet</t>
  </si>
  <si>
    <t>remote job searching during the semester</t>
  </si>
  <si>
    <t>you type here</t>
  </si>
  <si>
    <t>need to meet nani and dadi. It's been a while</t>
  </si>
  <si>
    <t>Health and Wellness</t>
  </si>
  <si>
    <t>the hairloss medicine I gave up on</t>
  </si>
  <si>
    <t>Only what is not yours to move. Not coursework, not project work, not study — that is what you plan with the hours this leaves you.</t>
  </si>
  <si>
    <t>The weightloss plan I never followed through</t>
  </si>
  <si>
    <t>Never learnt that embroidery software I literally paid for</t>
  </si>
  <si>
    <t>Crochet</t>
  </si>
  <si>
    <t>My crochet bag unfinished</t>
  </si>
  <si>
    <t>Two rows are filled in for you, in blue: the reviews. They are part of the system, so they are part of what your week already costs.</t>
  </si>
  <si>
    <t>crocheted pouch and water bottle holder as well</t>
  </si>
  <si>
    <t>The gifts I wanted to give to my friends</t>
  </si>
  <si>
    <t>Have to say Thankyou to bhai</t>
  </si>
  <si>
    <t>A.   THINGS YOU DO EVERY DAY</t>
  </si>
  <si>
    <t>Need to move on from summer 26 ptsd</t>
  </si>
  <si>
    <t>learn iot properly(from the box I bought)</t>
  </si>
  <si>
    <t>figure out what I want as a career</t>
  </si>
  <si>
    <t xml:space="preserve">Learn SNI </t>
  </si>
  <si>
    <t>hours per day</t>
  </si>
  <si>
    <t>Go through DB</t>
  </si>
  <si>
    <t>Dye hair original color again</t>
  </si>
  <si>
    <t>hours per week</t>
  </si>
  <si>
    <t>The business I never started</t>
  </si>
  <si>
    <t>Sleep</t>
  </si>
  <si>
    <t>Need to make more uni friends</t>
  </si>
  <si>
    <t>× 7</t>
  </si>
  <si>
    <t>Meals, including making them</t>
  </si>
  <si>
    <t>Prayer</t>
  </si>
  <si>
    <t>Getting ready, washing, dressing</t>
  </si>
  <si>
    <t>Commute, both ways</t>
  </si>
  <si>
    <t>Phone and social media  (be honest)</t>
  </si>
  <si>
    <t>Your daily review</t>
  </si>
  <si>
    <t>Subtotal A</t>
  </si>
  <si>
    <t>B.   THINGS THAT HAPPEN EVERY WEEK</t>
  </si>
  <si>
    <t>Classes</t>
  </si>
  <si>
    <t>Labs, tutorials, studio time</t>
  </si>
  <si>
    <t>Standing family commitments</t>
  </si>
  <si>
    <t>Halaqah, jamaat, religious gatherings</t>
  </si>
  <si>
    <t>Sport or gym you already do regularly</t>
  </si>
  <si>
    <t>Job, tuition, freelance work</t>
  </si>
  <si>
    <t>Your weekly review   (2 hours now, about half that once you are in practice)</t>
  </si>
  <si>
    <t>Subtotal B</t>
  </si>
  <si>
    <t>NOW THE ONLY SUM THAT MATTERS</t>
  </si>
  <si>
    <t>Hours in a week</t>
  </si>
  <si>
    <t>Already spoken for   (A + B)</t>
  </si>
  <si>
    <t>Hours you actually have</t>
  </si>
  <si>
    <t>Which is, per day</t>
  </si>
  <si>
    <t>You are not being asked to cut anything.</t>
  </si>
  <si>
    <t>You are being asked to find out what is actually free, before you promise it away.</t>
  </si>
  <si>
    <t>Submit this with parts A and B, by the end of week 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</si>
</sst>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6">
    <font>
      <sz val="11.0"/>
      <color theme="1"/>
      <name val="Calibri"/>
      <scheme val="minor"/>
    </font>
    <font>
      <b/>
      <sz val="20.0"/>
      <color rgb="FF1A1F24"/>
      <name val="Arial"/>
    </font>
    <font>
      <b/>
      <sz val="11.0"/>
      <color theme="1"/>
      <name val="Arial"/>
    </font>
    <font>
      <sz val="10.0"/>
      <color rgb="FF6B7580"/>
      <name val="Arial"/>
    </font>
    <font>
      <color theme="1"/>
      <name val="Calibri"/>
      <scheme val="minor"/>
    </font>
    <font>
      <b/>
      <sz val="11.0"/>
      <color rgb="FF1A1F24"/>
      <name val="Arial"/>
    </font>
    <font/>
    <font>
      <i/>
      <sz val="10.0"/>
      <color rgb="FF6B7580"/>
      <name val="Arial"/>
    </font>
    <font>
      <b/>
      <sz val="10.0"/>
      <color rgb="FF1A1F24"/>
      <name val="Arial"/>
    </font>
    <font>
      <sz val="11.0"/>
      <color theme="1"/>
      <name val="Calibri"/>
    </font>
    <font>
      <i/>
      <sz val="10.0"/>
      <color rgb="FFC1502E"/>
      <name val="Arial"/>
    </font>
    <font>
      <i/>
      <sz val="10.0"/>
      <color rgb="FF2B5876"/>
      <name val="Arial"/>
    </font>
    <font>
      <b/>
      <sz val="12.0"/>
      <color rgb="FFFFFFFF"/>
      <name val="Arial"/>
    </font>
    <font>
      <sz val="11.0"/>
      <color rgb="FF1A1F24"/>
      <name val="Arial"/>
    </font>
    <font>
      <b/>
      <sz val="9.0"/>
      <color rgb="FF6B7580"/>
      <name val="Arial"/>
    </font>
    <font>
      <b/>
      <color theme="1"/>
      <name val="Calibri"/>
      <scheme val="minor"/>
    </font>
    <font>
      <sz val="11.0"/>
      <color rgb="FF0000FF"/>
      <name val="Arial"/>
    </font>
    <font>
      <sz val="9.0"/>
      <color rgb="FF6B7580"/>
      <name val="Arial"/>
    </font>
    <font>
      <b/>
      <sz val="11.0"/>
      <color rgb="FF2B5876"/>
      <name val="Arial"/>
    </font>
    <font>
      <b/>
      <sz val="12.0"/>
      <color rgb="FF4E6E5D"/>
      <name val="Arial"/>
    </font>
    <font>
      <b/>
      <sz val="11.0"/>
      <color rgb="FFC1502E"/>
      <name val="Arial"/>
    </font>
    <font>
      <b/>
      <sz val="14.0"/>
      <color rgb="FFC1502E"/>
      <name val="Arial"/>
    </font>
    <font>
      <b/>
      <sz val="16.0"/>
      <color rgb="FFC1502E"/>
      <name val="Arial"/>
    </font>
    <font>
      <b/>
      <sz val="12.0"/>
      <color rgb="FF1A1F24"/>
      <name val="Arial"/>
    </font>
    <font>
      <b/>
      <sz val="12.0"/>
      <color rgb="FFC1502E"/>
      <name val="Arial"/>
    </font>
    <font>
      <b/>
      <sz val="10.0"/>
      <color rgb="FFC1502E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1F2F3"/>
        <bgColor rgb="FFF1F2F3"/>
      </patternFill>
    </fill>
    <fill>
      <patternFill patternType="solid">
        <fgColor rgb="FFFFF9E6"/>
        <bgColor rgb="FFFFF9E6"/>
      </patternFill>
    </fill>
    <fill>
      <patternFill patternType="solid">
        <fgColor rgb="FF1A1F24"/>
        <bgColor rgb="FF1A1F24"/>
      </patternFill>
    </fill>
    <fill>
      <patternFill patternType="solid">
        <fgColor rgb="FFEDF1F5"/>
        <bgColor rgb="FFEDF1F5"/>
      </patternFill>
    </fill>
    <fill>
      <patternFill patternType="solid">
        <fgColor rgb="FFEAF0EC"/>
        <bgColor rgb="FFEAF0EC"/>
      </patternFill>
    </fill>
    <fill>
      <patternFill patternType="solid">
        <fgColor rgb="FFF9EFEB"/>
        <bgColor rgb="FFF9EFEB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8CDD2"/>
      </left>
      <right style="thin">
        <color rgb="FFC8CDD2"/>
      </right>
      <top style="thin">
        <color rgb="FFC8CDD2"/>
      </top>
      <bottom style="thin">
        <color rgb="FFC8CDD2"/>
      </bottom>
    </border>
    <border>
      <left style="medium">
        <color rgb="FFC1502E"/>
      </left>
      <right style="medium">
        <color rgb="FFC1502E"/>
      </right>
      <top style="medium">
        <color rgb="FFC1502E"/>
      </top>
      <bottom style="medium">
        <color rgb="FFC1502E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1" fillId="2" fontId="5" numFmtId="0" xfId="0" applyAlignment="1" applyBorder="1" applyFill="1" applyFont="1">
      <alignment horizontal="left" shrinkToFit="0" vertical="center" wrapText="0"/>
    </xf>
    <xf borderId="2" fillId="0" fontId="6" numFmtId="0" xfId="0" applyBorder="1" applyFont="1"/>
    <xf borderId="3" fillId="0" fontId="6" numFmtId="0" xfId="0" applyBorder="1" applyFont="1"/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horizontal="left" shrinkToFit="0" vertical="center" wrapText="0"/>
    </xf>
    <xf borderId="4" fillId="3" fontId="9" numFmtId="0" xfId="0" applyAlignment="1" applyBorder="1" applyFill="1" applyFont="1">
      <alignment shrinkToFit="0" vertical="bottom" wrapText="0"/>
    </xf>
    <xf borderId="0" fillId="0" fontId="10" numFmtId="0" xfId="0" applyAlignment="1" applyFont="1">
      <alignment horizontal="left" shrinkToFit="0" vertical="center" wrapText="0"/>
    </xf>
    <xf borderId="0" fillId="0" fontId="11" numFmtId="0" xfId="0" applyAlignment="1" applyFont="1">
      <alignment horizontal="left" shrinkToFit="0" vertical="center" wrapText="0"/>
    </xf>
    <xf borderId="1" fillId="4" fontId="12" numFmtId="0" xfId="0" applyAlignment="1" applyBorder="1" applyFill="1" applyFont="1">
      <alignment horizontal="left" shrinkToFit="0" vertical="center" wrapText="0"/>
    </xf>
    <xf borderId="0" fillId="0" fontId="13" numFmtId="0" xfId="0" applyAlignment="1" applyFont="1">
      <alignment horizontal="left" shrinkToFit="0" vertical="center" wrapText="0"/>
    </xf>
    <xf borderId="4" fillId="0" fontId="14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left" shrinkToFit="0" vertical="center" wrapText="0"/>
    </xf>
    <xf borderId="0" fillId="0" fontId="15" numFmtId="0" xfId="0" applyAlignment="1" applyFont="1">
      <alignment readingOrder="0"/>
    </xf>
    <xf borderId="4" fillId="3" fontId="16" numFmtId="164" xfId="0" applyAlignment="1" applyBorder="1" applyFill="1" applyFont="1" applyNumberFormat="1">
      <alignment horizontal="center" readingOrder="0" shrinkToFit="0" vertical="center" wrapText="0"/>
    </xf>
    <xf borderId="4" fillId="0" fontId="17" numFmtId="0" xfId="0" applyAlignment="1" applyBorder="1" applyFont="1">
      <alignment horizontal="center" shrinkToFit="0" vertical="center" wrapText="0"/>
    </xf>
    <xf borderId="4" fillId="0" fontId="13" numFmtId="164" xfId="0" applyAlignment="1" applyBorder="1" applyFont="1" applyNumberFormat="1">
      <alignment horizontal="center" shrinkToFit="0" vertical="center" wrapText="0"/>
    </xf>
    <xf borderId="4" fillId="2" fontId="13" numFmtId="0" xfId="0" applyAlignment="1" applyBorder="1" applyFill="1" applyFont="1">
      <alignment horizontal="left" shrinkToFit="0" vertical="center" wrapText="0"/>
    </xf>
    <xf borderId="4" fillId="3" fontId="16" numFmtId="0" xfId="0" applyAlignment="1" applyBorder="1" applyFill="1" applyFont="1">
      <alignment horizontal="left" readingOrder="0" shrinkToFit="0" vertical="center" wrapText="0"/>
    </xf>
    <xf borderId="4" fillId="3" fontId="16" numFmtId="0" xfId="0" applyAlignment="1" applyBorder="1" applyFill="1" applyFont="1">
      <alignment horizontal="left" shrinkToFit="0" vertical="center" wrapText="0"/>
    </xf>
    <xf borderId="4" fillId="3" fontId="16" numFmtId="164" xfId="0" applyAlignment="1" applyBorder="1" applyFill="1" applyFont="1" applyNumberFormat="1">
      <alignment horizontal="center" shrinkToFit="0" vertical="center" wrapText="0"/>
    </xf>
    <xf borderId="4" fillId="5" fontId="18" numFmtId="0" xfId="0" applyAlignment="1" applyBorder="1" applyFill="1" applyFont="1">
      <alignment horizontal="left" shrinkToFit="0" vertical="center" wrapText="0"/>
    </xf>
    <xf borderId="4" fillId="5" fontId="18" numFmtId="164" xfId="0" applyAlignment="1" applyBorder="1" applyFill="1" applyFont="1" applyNumberFormat="1">
      <alignment horizontal="center" shrinkToFit="0" vertical="center" wrapText="0"/>
    </xf>
    <xf borderId="4" fillId="5" fontId="17" numFmtId="0" xfId="0" applyAlignment="1" applyBorder="1" applyFill="1" applyFont="1">
      <alignment horizontal="center" shrinkToFit="0" vertical="center" wrapText="0"/>
    </xf>
    <xf borderId="4" fillId="6" fontId="19" numFmtId="0" xfId="0" applyAlignment="1" applyBorder="1" applyFill="1" applyFont="1">
      <alignment horizontal="left" shrinkToFit="0" vertical="center" wrapText="0"/>
    </xf>
    <xf borderId="4" fillId="6" fontId="13" numFmtId="0" xfId="0" applyAlignment="1" applyBorder="1" applyFill="1" applyFont="1">
      <alignment horizontal="left" shrinkToFit="0" vertical="center" wrapText="0"/>
    </xf>
    <xf borderId="4" fillId="6" fontId="19" numFmtId="164" xfId="0" applyAlignment="1" applyBorder="1" applyFill="1" applyFont="1" applyNumberFormat="1">
      <alignment horizontal="center" shrinkToFit="0" vertical="center" wrapText="0"/>
    </xf>
    <xf borderId="4" fillId="5" fontId="13" numFmtId="0" xfId="0" applyAlignment="1" applyBorder="1" applyFill="1" applyFont="1">
      <alignment horizontal="left" shrinkToFit="0" vertical="center" wrapText="0"/>
    </xf>
    <xf borderId="1" fillId="7" fontId="20" numFmtId="0" xfId="0" applyAlignment="1" applyBorder="1" applyFill="1" applyFont="1">
      <alignment horizontal="left" shrinkToFit="0" vertical="center" wrapText="0"/>
    </xf>
    <xf borderId="4" fillId="7" fontId="13" numFmtId="0" xfId="0" applyAlignment="1" applyBorder="1" applyFill="1" applyFont="1">
      <alignment horizontal="left" shrinkToFit="0" vertical="center" wrapText="0"/>
    </xf>
    <xf borderId="4" fillId="7" fontId="13" numFmtId="1" xfId="0" applyAlignment="1" applyBorder="1" applyFill="1" applyFont="1" applyNumberFormat="1">
      <alignment horizontal="center" shrinkToFit="0" vertical="center" wrapText="0"/>
    </xf>
    <xf borderId="4" fillId="7" fontId="13" numFmtId="164" xfId="0" applyAlignment="1" applyBorder="1" applyFill="1" applyFont="1" applyNumberFormat="1">
      <alignment horizontal="center" shrinkToFit="0" vertical="center" wrapText="0"/>
    </xf>
    <xf borderId="4" fillId="7" fontId="21" numFmtId="0" xfId="0" applyAlignment="1" applyBorder="1" applyFill="1" applyFont="1">
      <alignment horizontal="left" shrinkToFit="0" vertical="center" wrapText="0"/>
    </xf>
    <xf borderId="5" fillId="8" fontId="22" numFmtId="164" xfId="0" applyAlignment="1" applyBorder="1" applyFill="1" applyFont="1" applyNumberFormat="1">
      <alignment horizontal="center" shrinkToFit="0" vertical="center" wrapText="0"/>
    </xf>
    <xf borderId="4" fillId="7" fontId="23" numFmtId="0" xfId="0" applyAlignment="1" applyBorder="1" applyFill="1" applyFont="1">
      <alignment horizontal="left" shrinkToFit="0" vertical="center" wrapText="0"/>
    </xf>
    <xf borderId="4" fillId="7" fontId="24" numFmtId="164" xfId="0" applyAlignment="1" applyBorder="1" applyFill="1" applyFont="1" applyNumberFormat="1">
      <alignment horizontal="center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19" numFmtId="0" xfId="0" applyAlignment="1" applyFont="1">
      <alignment horizontal="left" shrinkToFit="0" vertical="center" wrapText="0"/>
    </xf>
    <xf borderId="0" fillId="0" fontId="25" numFmtId="0" xfId="0" applyAlignment="1" applyFont="1">
      <alignment horizontal="left" shrinkToFit="0" vertical="center" wrapText="0"/>
    </xf>
  </cellXfs>
  <cellStyles count="1">
    <cellStyle xfId="0" name="Normal" builtinId="0"/>
  </cellStyles>
  <dxfs count="1">
    <dxf>
      <font>
        <b/>
        <sz val="11.0"/>
        <color rgb="FF1A1F24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61.0"/>
    <col customWidth="1" min="3" max="3" width="62.0"/>
    <col customWidth="1" min="4" max="26" width="8.71"/>
  </cols>
  <sheetData>
    <row r="1">
      <c r="A1" s="2" t="s">
        <v>1</v>
      </c>
      <c r="B1" s="2" t="s">
        <v>3</v>
      </c>
      <c r="C1" s="4" t="s">
        <v>4</v>
      </c>
    </row>
    <row r="2">
      <c r="A2" s="5" t="s">
        <v>6</v>
      </c>
      <c r="B2" s="5" t="s">
        <v>7</v>
      </c>
      <c r="C2" s="5" t="s">
        <v>8</v>
      </c>
    </row>
    <row r="3">
      <c r="A3" s="5" t="s">
        <v>9</v>
      </c>
      <c r="B3" s="5" t="s">
        <v>10</v>
      </c>
      <c r="C3" s="5" t="s">
        <v>11</v>
      </c>
    </row>
    <row r="4">
      <c r="A4" s="5" t="s">
        <v>6</v>
      </c>
      <c r="B4" s="5" t="s">
        <v>7</v>
      </c>
      <c r="C4" s="5" t="s">
        <v>12</v>
      </c>
    </row>
    <row r="5">
      <c r="A5" s="5" t="s">
        <v>13</v>
      </c>
      <c r="B5" s="5" t="s">
        <v>14</v>
      </c>
      <c r="C5" s="5" t="s">
        <v>15</v>
      </c>
    </row>
    <row r="6">
      <c r="A6" s="5" t="s">
        <v>9</v>
      </c>
      <c r="B6" s="5" t="s">
        <v>16</v>
      </c>
      <c r="C6" s="5" t="s">
        <v>17</v>
      </c>
    </row>
    <row r="7">
      <c r="A7" s="5" t="s">
        <v>18</v>
      </c>
      <c r="B7" s="5" t="s">
        <v>19</v>
      </c>
      <c r="C7" s="5" t="s">
        <v>20</v>
      </c>
    </row>
    <row r="8">
      <c r="A8" s="5" t="s">
        <v>18</v>
      </c>
      <c r="B8" s="5" t="s">
        <v>19</v>
      </c>
      <c r="C8" s="5" t="s">
        <v>21</v>
      </c>
    </row>
    <row r="9">
      <c r="A9" s="5" t="s">
        <v>9</v>
      </c>
      <c r="B9" s="5" t="s">
        <v>10</v>
      </c>
      <c r="C9" s="5" t="s">
        <v>22</v>
      </c>
    </row>
    <row r="10">
      <c r="A10" s="5" t="s">
        <v>18</v>
      </c>
      <c r="B10" s="5" t="s">
        <v>23</v>
      </c>
      <c r="C10" s="5" t="s">
        <v>24</v>
      </c>
    </row>
    <row r="11">
      <c r="A11" s="5" t="s">
        <v>9</v>
      </c>
      <c r="B11" s="5" t="s">
        <v>16</v>
      </c>
      <c r="C11" s="5" t="s">
        <v>26</v>
      </c>
    </row>
    <row r="12">
      <c r="A12" s="5" t="s">
        <v>18</v>
      </c>
      <c r="B12" s="5" t="s">
        <v>27</v>
      </c>
      <c r="C12" s="5" t="s">
        <v>28</v>
      </c>
    </row>
    <row r="13">
      <c r="A13" s="5" t="s">
        <v>18</v>
      </c>
      <c r="B13" s="5" t="s">
        <v>27</v>
      </c>
      <c r="C13" s="5" t="s">
        <v>30</v>
      </c>
    </row>
    <row r="14">
      <c r="A14" s="5" t="s">
        <v>18</v>
      </c>
      <c r="B14" s="5" t="s">
        <v>27</v>
      </c>
      <c r="C14" s="5" t="s">
        <v>31</v>
      </c>
    </row>
    <row r="15">
      <c r="A15" s="5" t="s">
        <v>18</v>
      </c>
      <c r="B15" s="5" t="s">
        <v>27</v>
      </c>
      <c r="C15" s="5" t="s">
        <v>32</v>
      </c>
    </row>
    <row r="16">
      <c r="A16" s="5" t="s">
        <v>9</v>
      </c>
      <c r="B16" s="5" t="s">
        <v>16</v>
      </c>
      <c r="C16" s="5" t="s">
        <v>33</v>
      </c>
    </row>
    <row r="17">
      <c r="A17" s="5" t="s">
        <v>18</v>
      </c>
      <c r="B17" s="5" t="s">
        <v>23</v>
      </c>
      <c r="C17" s="5" t="s">
        <v>34</v>
      </c>
    </row>
    <row r="18">
      <c r="A18" s="5" t="s">
        <v>35</v>
      </c>
      <c r="B18" s="5" t="s">
        <v>35</v>
      </c>
      <c r="C18" s="5" t="s">
        <v>36</v>
      </c>
    </row>
    <row r="19">
      <c r="A19" s="5" t="s">
        <v>35</v>
      </c>
      <c r="B19" s="5" t="s">
        <v>35</v>
      </c>
      <c r="C19" s="5" t="s">
        <v>37</v>
      </c>
    </row>
    <row r="20">
      <c r="A20" s="5" t="s">
        <v>18</v>
      </c>
      <c r="B20" s="5" t="s">
        <v>23</v>
      </c>
      <c r="C20" s="5" t="s">
        <v>39</v>
      </c>
    </row>
    <row r="21">
      <c r="A21" s="5" t="s">
        <v>18</v>
      </c>
      <c r="B21" s="5" t="s">
        <v>40</v>
      </c>
      <c r="C21" s="5" t="s">
        <v>41</v>
      </c>
    </row>
    <row r="22">
      <c r="A22" s="5" t="s">
        <v>18</v>
      </c>
      <c r="B22" s="5" t="s">
        <v>40</v>
      </c>
      <c r="C22" s="5" t="s">
        <v>43</v>
      </c>
    </row>
    <row r="23" ht="15.75" customHeight="1">
      <c r="A23" s="5" t="s">
        <v>13</v>
      </c>
      <c r="B23" s="5" t="s">
        <v>14</v>
      </c>
      <c r="C23" s="5" t="s">
        <v>44</v>
      </c>
    </row>
    <row r="24" ht="15.75" customHeight="1">
      <c r="A24" s="5" t="s">
        <v>13</v>
      </c>
      <c r="B24" s="5" t="s">
        <v>45</v>
      </c>
      <c r="C24" s="5" t="s">
        <v>46</v>
      </c>
    </row>
    <row r="25" ht="15.75" customHeight="1">
      <c r="A25" s="5" t="s">
        <v>13</v>
      </c>
      <c r="B25" s="5" t="s">
        <v>45</v>
      </c>
      <c r="C25" s="5" t="s">
        <v>48</v>
      </c>
    </row>
    <row r="26" ht="15.75" customHeight="1">
      <c r="A26" s="5" t="s">
        <v>13</v>
      </c>
      <c r="B26" s="5" t="s">
        <v>45</v>
      </c>
      <c r="C26" s="5" t="s">
        <v>49</v>
      </c>
    </row>
    <row r="27" ht="15.75" customHeight="1">
      <c r="A27" s="5" t="s">
        <v>18</v>
      </c>
      <c r="B27" s="5" t="s">
        <v>23</v>
      </c>
      <c r="C27" s="5" t="s">
        <v>50</v>
      </c>
    </row>
    <row r="28" ht="15.75" customHeight="1">
      <c r="A28" s="5" t="s">
        <v>18</v>
      </c>
      <c r="B28" s="5" t="s">
        <v>19</v>
      </c>
      <c r="C28" s="5" t="s">
        <v>52</v>
      </c>
    </row>
    <row r="29" ht="15.75" customHeight="1">
      <c r="A29" s="5" t="s">
        <v>13</v>
      </c>
      <c r="B29" s="5" t="s">
        <v>14</v>
      </c>
      <c r="C29" s="5" t="s">
        <v>53</v>
      </c>
    </row>
    <row r="30" ht="15.75" customHeight="1">
      <c r="A30" s="5" t="s">
        <v>35</v>
      </c>
      <c r="B30" s="5" t="s">
        <v>35</v>
      </c>
      <c r="C30" s="5" t="s">
        <v>54</v>
      </c>
    </row>
    <row r="31" ht="15.75" customHeight="1">
      <c r="A31" s="5" t="s">
        <v>6</v>
      </c>
      <c r="B31" s="5" t="s">
        <v>7</v>
      </c>
      <c r="C31" s="5" t="s">
        <v>55</v>
      </c>
    </row>
    <row r="32" ht="15.75" customHeight="1">
      <c r="A32" s="5" t="s">
        <v>6</v>
      </c>
      <c r="B32" s="5" t="s">
        <v>7</v>
      </c>
      <c r="C32" s="5" t="s">
        <v>57</v>
      </c>
    </row>
    <row r="33" ht="15.75" customHeight="1">
      <c r="A33" s="5" t="s">
        <v>18</v>
      </c>
      <c r="B33" s="5" t="s">
        <v>40</v>
      </c>
      <c r="C33" s="5" t="s">
        <v>58</v>
      </c>
    </row>
    <row r="34" ht="15.75" customHeight="1">
      <c r="A34" s="5" t="s">
        <v>13</v>
      </c>
      <c r="B34" s="5" t="s">
        <v>45</v>
      </c>
      <c r="C34" s="5" t="s">
        <v>60</v>
      </c>
    </row>
    <row r="35" ht="15.75" customHeight="1">
      <c r="A35" s="5" t="s">
        <v>18</v>
      </c>
      <c r="B35" s="5" t="s">
        <v>23</v>
      </c>
      <c r="C35" s="5" t="s">
        <v>62</v>
      </c>
    </row>
    <row r="36" ht="15.75" customHeight="1">
      <c r="A36" s="5"/>
      <c r="B36" s="5"/>
      <c r="C36" s="5"/>
    </row>
    <row r="37" ht="15.75" customHeight="1">
      <c r="A37" s="5"/>
      <c r="B37" s="5"/>
    </row>
    <row r="38" ht="15.75" customHeight="1">
      <c r="A38" s="5"/>
      <c r="B38" s="5"/>
    </row>
    <row r="39" ht="15.75" customHeight="1">
      <c r="A39" s="18"/>
      <c r="B39" s="18"/>
    </row>
    <row r="40" ht="15.75" customHeight="1">
      <c r="A40" s="5"/>
      <c r="B40" s="5"/>
    </row>
    <row r="41" ht="15.75" customHeight="1">
      <c r="A41" s="5"/>
      <c r="B41" s="5"/>
    </row>
    <row r="42" ht="15.75" customHeight="1">
      <c r="A42" s="18"/>
      <c r="B42" s="18"/>
    </row>
    <row r="43" ht="15.75" customHeight="1">
      <c r="A43" s="5"/>
      <c r="B43" s="5"/>
    </row>
    <row r="44" ht="15.75" customHeight="1">
      <c r="A44" s="5"/>
      <c r="B44" s="5"/>
    </row>
    <row r="45" ht="15.75" customHeight="1">
      <c r="A45" s="5"/>
      <c r="B45" s="5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4.0"/>
    <col customWidth="1" min="2" max="2" width="46.0"/>
    <col customWidth="1" min="3" max="3" width="14.0"/>
    <col customWidth="1" min="4" max="4" width="6.0"/>
    <col customWidth="1" min="5" max="5" width="14.0"/>
    <col customWidth="1" min="6" max="26" width="8.71"/>
  </cols>
  <sheetData>
    <row r="2" ht="27.75" customHeight="1">
      <c r="B2" s="1" t="s">
        <v>0</v>
      </c>
    </row>
    <row r="3">
      <c r="B3" s="3" t="s">
        <v>2</v>
      </c>
    </row>
    <row r="5" ht="21.75" customHeight="1">
      <c r="B5" s="6" t="s">
        <v>5</v>
      </c>
      <c r="C5" s="7"/>
      <c r="D5" s="7"/>
      <c r="E5" s="8"/>
    </row>
    <row r="6">
      <c r="B6" s="9" t="s">
        <v>25</v>
      </c>
    </row>
    <row r="8">
      <c r="B8" s="10" t="s">
        <v>29</v>
      </c>
      <c r="C8" s="11"/>
      <c r="D8" s="3" t="s">
        <v>38</v>
      </c>
    </row>
    <row r="9" ht="15.75" customHeight="1">
      <c r="B9" s="12" t="s">
        <v>42</v>
      </c>
    </row>
    <row r="10" ht="15.75" customHeight="1">
      <c r="B10" s="13" t="s">
        <v>47</v>
      </c>
    </row>
    <row r="12" ht="24.0" customHeight="1">
      <c r="B12" s="14" t="s">
        <v>51</v>
      </c>
      <c r="C12" s="7"/>
      <c r="D12" s="7"/>
      <c r="E12" s="8"/>
    </row>
    <row r="13" ht="25.5" customHeight="1">
      <c r="B13" s="15"/>
      <c r="C13" s="16" t="s">
        <v>56</v>
      </c>
      <c r="D13" s="15"/>
      <c r="E13" s="16" t="s">
        <v>59</v>
      </c>
    </row>
    <row r="14">
      <c r="B14" s="17" t="s">
        <v>61</v>
      </c>
      <c r="C14" s="19">
        <v>7.0</v>
      </c>
      <c r="D14" s="20" t="s">
        <v>63</v>
      </c>
      <c r="E14" s="21">
        <f t="shared" ref="E14:E21" si="1">IF(C14="","",C14*7)</f>
        <v>49</v>
      </c>
    </row>
    <row r="15">
      <c r="B15" s="22" t="s">
        <v>64</v>
      </c>
      <c r="C15" s="19">
        <v>1.0</v>
      </c>
      <c r="D15" s="20" t="s">
        <v>63</v>
      </c>
      <c r="E15" s="21">
        <f t="shared" si="1"/>
        <v>7</v>
      </c>
    </row>
    <row r="16">
      <c r="B16" s="17" t="s">
        <v>65</v>
      </c>
      <c r="C16" s="19">
        <v>1.0</v>
      </c>
      <c r="D16" s="20" t="s">
        <v>63</v>
      </c>
      <c r="E16" s="21">
        <f t="shared" si="1"/>
        <v>7</v>
      </c>
    </row>
    <row r="17">
      <c r="B17" s="22" t="s">
        <v>66</v>
      </c>
      <c r="C17" s="19">
        <v>1.0</v>
      </c>
      <c r="D17" s="20" t="s">
        <v>63</v>
      </c>
      <c r="E17" s="21">
        <f t="shared" si="1"/>
        <v>7</v>
      </c>
    </row>
    <row r="18">
      <c r="B18" s="17" t="s">
        <v>67</v>
      </c>
      <c r="C18" s="19">
        <v>2.0</v>
      </c>
      <c r="D18" s="20" t="s">
        <v>63</v>
      </c>
      <c r="E18" s="21">
        <f t="shared" si="1"/>
        <v>14</v>
      </c>
    </row>
    <row r="19">
      <c r="B19" s="22" t="s">
        <v>68</v>
      </c>
      <c r="C19" s="19">
        <v>4.0</v>
      </c>
      <c r="D19" s="20" t="s">
        <v>63</v>
      </c>
      <c r="E19" s="21">
        <f t="shared" si="1"/>
        <v>28</v>
      </c>
    </row>
    <row r="20">
      <c r="B20" s="23"/>
      <c r="C20" s="19"/>
      <c r="D20" s="20" t="s">
        <v>63</v>
      </c>
      <c r="E20" s="21" t="str">
        <f t="shared" si="1"/>
        <v/>
      </c>
    </row>
    <row r="21" ht="15.75" customHeight="1">
      <c r="B21" s="24"/>
      <c r="C21" s="25"/>
      <c r="D21" s="20" t="s">
        <v>63</v>
      </c>
      <c r="E21" s="21" t="str">
        <f t="shared" si="1"/>
        <v/>
      </c>
    </row>
    <row r="22" ht="15.75" customHeight="1">
      <c r="B22" s="26" t="s">
        <v>69</v>
      </c>
      <c r="C22" s="27">
        <v>0.5</v>
      </c>
      <c r="D22" s="28" t="s">
        <v>63</v>
      </c>
      <c r="E22" s="27">
        <f>C22*7</f>
        <v>3.5</v>
      </c>
    </row>
    <row r="23" ht="21.75" customHeight="1">
      <c r="B23" s="29" t="s">
        <v>70</v>
      </c>
      <c r="C23" s="30"/>
      <c r="D23" s="30"/>
      <c r="E23" s="31">
        <f>SUM(E14:E22)</f>
        <v>115.5</v>
      </c>
    </row>
    <row r="24" ht="15.75" customHeight="1"/>
    <row r="25" ht="24.0" customHeight="1">
      <c r="B25" s="14" t="s">
        <v>71</v>
      </c>
      <c r="C25" s="7"/>
      <c r="D25" s="7"/>
      <c r="E25" s="8"/>
    </row>
    <row r="26" ht="25.5" customHeight="1">
      <c r="B26" s="15"/>
      <c r="C26" s="17"/>
      <c r="D26" s="17"/>
      <c r="E26" s="16" t="s">
        <v>59</v>
      </c>
    </row>
    <row r="27" ht="15.75" customHeight="1">
      <c r="B27" s="17" t="s">
        <v>72</v>
      </c>
      <c r="C27" s="17"/>
      <c r="D27" s="17"/>
      <c r="E27" s="19">
        <v>18.5</v>
      </c>
    </row>
    <row r="28" ht="15.75" customHeight="1">
      <c r="B28" s="22" t="s">
        <v>73</v>
      </c>
      <c r="C28" s="17"/>
      <c r="D28" s="17"/>
      <c r="E28" s="19">
        <v>6.0</v>
      </c>
    </row>
    <row r="29" ht="15.75" customHeight="1">
      <c r="B29" s="17" t="s">
        <v>74</v>
      </c>
      <c r="C29" s="17"/>
      <c r="D29" s="17"/>
      <c r="E29" s="19">
        <v>2.0</v>
      </c>
    </row>
    <row r="30" ht="15.75" customHeight="1">
      <c r="B30" s="22" t="s">
        <v>75</v>
      </c>
      <c r="C30" s="17"/>
      <c r="D30" s="17"/>
      <c r="E30" s="25"/>
    </row>
    <row r="31" ht="15.75" customHeight="1">
      <c r="B31" s="17" t="s">
        <v>76</v>
      </c>
      <c r="C31" s="17"/>
      <c r="D31" s="17"/>
      <c r="E31" s="19">
        <v>2.0</v>
      </c>
    </row>
    <row r="32" ht="15.75" customHeight="1">
      <c r="B32" s="22" t="s">
        <v>77</v>
      </c>
      <c r="C32" s="17"/>
      <c r="D32" s="17"/>
      <c r="E32" s="19">
        <v>8.0</v>
      </c>
    </row>
    <row r="33" ht="15.75" customHeight="1">
      <c r="B33" s="24"/>
      <c r="C33" s="17"/>
      <c r="D33" s="17"/>
      <c r="E33" s="25"/>
    </row>
    <row r="34" ht="15.75" customHeight="1">
      <c r="B34" s="24"/>
      <c r="C34" s="17"/>
      <c r="D34" s="17"/>
      <c r="E34" s="25"/>
    </row>
    <row r="35" ht="15.75" customHeight="1">
      <c r="B35" s="26" t="s">
        <v>78</v>
      </c>
      <c r="C35" s="32"/>
      <c r="D35" s="32"/>
      <c r="E35" s="27">
        <v>2.0</v>
      </c>
    </row>
    <row r="36" ht="21.75" customHeight="1">
      <c r="B36" s="29" t="s">
        <v>79</v>
      </c>
      <c r="C36" s="30"/>
      <c r="D36" s="30"/>
      <c r="E36" s="31">
        <f>SUM(E27:E35)</f>
        <v>38.5</v>
      </c>
    </row>
    <row r="37" ht="15.75" customHeight="1"/>
    <row r="38" ht="21.75" customHeight="1">
      <c r="B38" s="33" t="s">
        <v>80</v>
      </c>
      <c r="C38" s="7"/>
      <c r="D38" s="7"/>
      <c r="E38" s="8"/>
    </row>
    <row r="39" ht="15.75" customHeight="1">
      <c r="B39" s="34" t="s">
        <v>81</v>
      </c>
      <c r="C39" s="34"/>
      <c r="D39" s="34"/>
      <c r="E39" s="35">
        <v>168.0</v>
      </c>
    </row>
    <row r="40" ht="15.75" customHeight="1">
      <c r="B40" s="34" t="s">
        <v>82</v>
      </c>
      <c r="C40" s="34"/>
      <c r="D40" s="34"/>
      <c r="E40" s="36">
        <f>E23+E36</f>
        <v>154</v>
      </c>
    </row>
    <row r="41" ht="30.0" customHeight="1">
      <c r="B41" s="37" t="s">
        <v>83</v>
      </c>
      <c r="C41" s="34"/>
      <c r="D41" s="34"/>
      <c r="E41" s="38">
        <f>E39-E40</f>
        <v>14</v>
      </c>
    </row>
    <row r="42" ht="15.75" customHeight="1">
      <c r="B42" s="39" t="s">
        <v>84</v>
      </c>
      <c r="C42" s="34"/>
      <c r="D42" s="34"/>
      <c r="E42" s="40">
        <f>E41/7</f>
        <v>2</v>
      </c>
    </row>
    <row r="43" ht="15.75" customHeight="1"/>
    <row r="44" ht="24.0" customHeight="1">
      <c r="B44" s="41" t="str">
        <f>IF(E23+E36=0,"Fill in block A to begin.",IF(E41&gt;60,"That looks high. Most people forget sleep, meals or their phone. Go back to block A.",IF(E41&lt;10,"That looks very low. Check you have not entered a weekly figure in the per-day column.","That is your number. Everything you take on this semester has to fit inside it.")))</f>
        <v>That is your number. Everything you take on this semester has to fit inside it.</v>
      </c>
    </row>
    <row r="45" ht="15.75" customHeight="1"/>
    <row r="46" ht="15.75" customHeight="1">
      <c r="B46" s="42" t="s">
        <v>85</v>
      </c>
    </row>
    <row r="47" ht="15.75" customHeight="1">
      <c r="B47" s="15" t="s">
        <v>86</v>
      </c>
    </row>
    <row r="48" ht="15.75" customHeight="1"/>
    <row r="49" ht="15.75" customHeight="1">
      <c r="B49" s="43" t="s">
        <v>87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E12"/>
    <mergeCell ref="B25:E25"/>
    <mergeCell ref="B38:E38"/>
    <mergeCell ref="B44:E44"/>
    <mergeCell ref="B46:E46"/>
    <mergeCell ref="B47:E47"/>
    <mergeCell ref="B49:E49"/>
    <mergeCell ref="B2:E2"/>
    <mergeCell ref="B3:E3"/>
    <mergeCell ref="B5:E5"/>
    <mergeCell ref="B6:E6"/>
    <mergeCell ref="D8:E8"/>
    <mergeCell ref="B9:E9"/>
    <mergeCell ref="B10:E10"/>
  </mergeCells>
  <conditionalFormatting sqref="B44">
    <cfRule type="cellIs" dxfId="0" priority="1" operator="notEqual">
      <formula>"x"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